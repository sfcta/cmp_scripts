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Q:\CMP\LOS Monitoring 2025\safety\"/>
    </mc:Choice>
  </mc:AlternateContent>
  <xr:revisionPtr revIDLastSave="0" documentId="13_ncr:1_{374F5E6C-F603-469C-8801-EC12A9CF377D}" xr6:coauthVersionLast="47" xr6:coauthVersionMax="47" xr10:uidLastSave="{00000000-0000-0000-0000-000000000000}"/>
  <bookViews>
    <workbookView xWindow="29370" yWindow="3360" windowWidth="25395" windowHeight="171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4" i="1" l="1"/>
  <c r="F164" i="1"/>
  <c r="G164" i="1"/>
  <c r="G167" i="1" s="1"/>
  <c r="H164" i="1"/>
  <c r="I164" i="1"/>
  <c r="J164" i="1"/>
  <c r="K164" i="1"/>
  <c r="K167" i="1" s="1"/>
  <c r="L164" i="1"/>
  <c r="M164" i="1"/>
  <c r="N164" i="1"/>
  <c r="O164" i="1"/>
  <c r="P164" i="1"/>
  <c r="Q164" i="1"/>
  <c r="Q167" i="1" s="1"/>
  <c r="E165" i="1"/>
  <c r="F165" i="1"/>
  <c r="G165" i="1"/>
  <c r="H165" i="1"/>
  <c r="I165" i="1"/>
  <c r="J165" i="1"/>
  <c r="J167" i="1" s="1"/>
  <c r="K165" i="1"/>
  <c r="L165" i="1"/>
  <c r="L167" i="1" s="1"/>
  <c r="M165" i="1"/>
  <c r="N165" i="1"/>
  <c r="O165" i="1"/>
  <c r="P165" i="1"/>
  <c r="Q165" i="1"/>
  <c r="E166" i="1"/>
  <c r="F166" i="1"/>
  <c r="G166" i="1"/>
  <c r="H166" i="1"/>
  <c r="I166" i="1"/>
  <c r="I167" i="1" s="1"/>
  <c r="J166" i="1"/>
  <c r="K166" i="1"/>
  <c r="L166" i="1"/>
  <c r="M166" i="1"/>
  <c r="N166" i="1"/>
  <c r="O166" i="1"/>
  <c r="P166" i="1"/>
  <c r="Q166" i="1"/>
  <c r="D166" i="1"/>
  <c r="D165" i="1"/>
  <c r="D164" i="1"/>
  <c r="H167" i="1"/>
  <c r="E167" i="1"/>
  <c r="N167" i="1"/>
  <c r="F167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D67" i="1"/>
  <c r="D66" i="1"/>
  <c r="D65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D134" i="1"/>
  <c r="D135" i="1"/>
  <c r="D136" i="1"/>
  <c r="D133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D126" i="1"/>
  <c r="D127" i="1"/>
  <c r="D128" i="1"/>
  <c r="D12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D36" i="1"/>
  <c r="D37" i="1"/>
  <c r="D38" i="1"/>
  <c r="D35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D28" i="1"/>
  <c r="D29" i="1"/>
  <c r="D30" i="1"/>
  <c r="D2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D118" i="1"/>
  <c r="D119" i="1"/>
  <c r="D120" i="1"/>
  <c r="D19" i="1"/>
  <c r="D117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D20" i="1"/>
  <c r="D21" i="1"/>
  <c r="D22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P167" i="1" s="1"/>
  <c r="Q187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D187" i="1"/>
  <c r="D188" i="1"/>
  <c r="D189" i="1"/>
  <c r="D186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D93" i="1"/>
  <c r="D94" i="1"/>
  <c r="D95" i="1"/>
  <c r="D92" i="1"/>
  <c r="Q185" i="1"/>
  <c r="Q159" i="1" s="1"/>
  <c r="P185" i="1"/>
  <c r="P159" i="1" s="1"/>
  <c r="O185" i="1"/>
  <c r="O159" i="1" s="1"/>
  <c r="N185" i="1"/>
  <c r="N159" i="1" s="1"/>
  <c r="M185" i="1"/>
  <c r="M159" i="1" s="1"/>
  <c r="L185" i="1"/>
  <c r="L159" i="1" s="1"/>
  <c r="K185" i="1"/>
  <c r="K159" i="1" s="1"/>
  <c r="J185" i="1"/>
  <c r="J159" i="1" s="1"/>
  <c r="I185" i="1"/>
  <c r="I159" i="1" s="1"/>
  <c r="H185" i="1"/>
  <c r="H159" i="1" s="1"/>
  <c r="G185" i="1"/>
  <c r="G159" i="1" s="1"/>
  <c r="F185" i="1"/>
  <c r="F159" i="1" s="1"/>
  <c r="E185" i="1"/>
  <c r="E159" i="1" s="1"/>
  <c r="D185" i="1"/>
  <c r="D159" i="1" s="1"/>
  <c r="Q180" i="1"/>
  <c r="Q158" i="1" s="1"/>
  <c r="P180" i="1"/>
  <c r="P158" i="1" s="1"/>
  <c r="O180" i="1"/>
  <c r="O158" i="1" s="1"/>
  <c r="N180" i="1"/>
  <c r="N158" i="1" s="1"/>
  <c r="M180" i="1"/>
  <c r="M158" i="1" s="1"/>
  <c r="L180" i="1"/>
  <c r="L158" i="1" s="1"/>
  <c r="K180" i="1"/>
  <c r="K158" i="1" s="1"/>
  <c r="J180" i="1"/>
  <c r="J158" i="1" s="1"/>
  <c r="I180" i="1"/>
  <c r="I158" i="1" s="1"/>
  <c r="H180" i="1"/>
  <c r="H158" i="1" s="1"/>
  <c r="G180" i="1"/>
  <c r="G158" i="1" s="1"/>
  <c r="F180" i="1"/>
  <c r="F158" i="1" s="1"/>
  <c r="E180" i="1"/>
  <c r="E158" i="1" s="1"/>
  <c r="D180" i="1"/>
  <c r="D158" i="1" s="1"/>
  <c r="Q175" i="1"/>
  <c r="Q157" i="1" s="1"/>
  <c r="P175" i="1"/>
  <c r="P157" i="1" s="1"/>
  <c r="O175" i="1"/>
  <c r="O157" i="1" s="1"/>
  <c r="N175" i="1"/>
  <c r="N157" i="1" s="1"/>
  <c r="M175" i="1"/>
  <c r="M157" i="1" s="1"/>
  <c r="L175" i="1"/>
  <c r="L157" i="1" s="1"/>
  <c r="K175" i="1"/>
  <c r="K157" i="1" s="1"/>
  <c r="J175" i="1"/>
  <c r="J157" i="1" s="1"/>
  <c r="I175" i="1"/>
  <c r="I157" i="1" s="1"/>
  <c r="H175" i="1"/>
  <c r="H157" i="1" s="1"/>
  <c r="G175" i="1"/>
  <c r="G157" i="1" s="1"/>
  <c r="F175" i="1"/>
  <c r="F157" i="1" s="1"/>
  <c r="E175" i="1"/>
  <c r="E157" i="1" s="1"/>
  <c r="D175" i="1"/>
  <c r="D157" i="1" s="1"/>
  <c r="Q91" i="1"/>
  <c r="Q60" i="1" s="1"/>
  <c r="P91" i="1"/>
  <c r="P60" i="1" s="1"/>
  <c r="O91" i="1"/>
  <c r="O60" i="1" s="1"/>
  <c r="N91" i="1"/>
  <c r="N60" i="1" s="1"/>
  <c r="M91" i="1"/>
  <c r="M60" i="1" s="1"/>
  <c r="L91" i="1"/>
  <c r="L60" i="1" s="1"/>
  <c r="K91" i="1"/>
  <c r="K60" i="1" s="1"/>
  <c r="J91" i="1"/>
  <c r="J60" i="1" s="1"/>
  <c r="I91" i="1"/>
  <c r="I60" i="1" s="1"/>
  <c r="H91" i="1"/>
  <c r="H60" i="1" s="1"/>
  <c r="G91" i="1"/>
  <c r="G60" i="1" s="1"/>
  <c r="F91" i="1"/>
  <c r="F60" i="1" s="1"/>
  <c r="E91" i="1"/>
  <c r="E60" i="1" s="1"/>
  <c r="D91" i="1"/>
  <c r="D60" i="1" s="1"/>
  <c r="Q86" i="1"/>
  <c r="Q59" i="1" s="1"/>
  <c r="P86" i="1"/>
  <c r="P59" i="1" s="1"/>
  <c r="O86" i="1"/>
  <c r="O59" i="1" s="1"/>
  <c r="N86" i="1"/>
  <c r="N59" i="1" s="1"/>
  <c r="M86" i="1"/>
  <c r="M59" i="1" s="1"/>
  <c r="L86" i="1"/>
  <c r="L59" i="1" s="1"/>
  <c r="K86" i="1"/>
  <c r="K59" i="1" s="1"/>
  <c r="J86" i="1"/>
  <c r="J59" i="1" s="1"/>
  <c r="I86" i="1"/>
  <c r="I59" i="1" s="1"/>
  <c r="H86" i="1"/>
  <c r="H59" i="1" s="1"/>
  <c r="G86" i="1"/>
  <c r="G59" i="1" s="1"/>
  <c r="F86" i="1"/>
  <c r="F59" i="1" s="1"/>
  <c r="E86" i="1"/>
  <c r="E59" i="1" s="1"/>
  <c r="D86" i="1"/>
  <c r="D59" i="1" s="1"/>
  <c r="Q81" i="1"/>
  <c r="Q58" i="1" s="1"/>
  <c r="P81" i="1"/>
  <c r="P58" i="1" s="1"/>
  <c r="O81" i="1"/>
  <c r="O58" i="1" s="1"/>
  <c r="N81" i="1"/>
  <c r="N58" i="1" s="1"/>
  <c r="M81" i="1"/>
  <c r="M58" i="1" s="1"/>
  <c r="L81" i="1"/>
  <c r="L58" i="1" s="1"/>
  <c r="K81" i="1"/>
  <c r="K58" i="1" s="1"/>
  <c r="J81" i="1"/>
  <c r="J58" i="1" s="1"/>
  <c r="I81" i="1"/>
  <c r="I58" i="1" s="1"/>
  <c r="H81" i="1"/>
  <c r="H58" i="1" s="1"/>
  <c r="G81" i="1"/>
  <c r="G58" i="1" s="1"/>
  <c r="F81" i="1"/>
  <c r="F58" i="1" s="1"/>
  <c r="E81" i="1"/>
  <c r="E58" i="1" s="1"/>
  <c r="D81" i="1"/>
  <c r="D58" i="1" s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O167" i="1" l="1"/>
  <c r="D167" i="1"/>
  <c r="M167" i="1"/>
  <c r="N68" i="1"/>
  <c r="K68" i="1"/>
  <c r="O137" i="1"/>
  <c r="H129" i="1"/>
  <c r="N137" i="1"/>
  <c r="G68" i="1"/>
  <c r="D137" i="1"/>
  <c r="E68" i="1"/>
  <c r="I137" i="1"/>
  <c r="J129" i="1"/>
  <c r="F137" i="1"/>
  <c r="I129" i="1"/>
  <c r="P137" i="1"/>
  <c r="Q129" i="1"/>
  <c r="E129" i="1"/>
  <c r="L68" i="1"/>
  <c r="K137" i="1"/>
  <c r="F68" i="1"/>
  <c r="K129" i="1"/>
  <c r="G137" i="1"/>
  <c r="Q68" i="1"/>
  <c r="O68" i="1"/>
  <c r="M68" i="1"/>
  <c r="J68" i="1"/>
  <c r="D68" i="1"/>
  <c r="P68" i="1"/>
  <c r="H68" i="1"/>
  <c r="I68" i="1"/>
  <c r="H137" i="1"/>
  <c r="Q137" i="1"/>
  <c r="E137" i="1"/>
  <c r="G129" i="1"/>
  <c r="M137" i="1"/>
  <c r="P129" i="1"/>
  <c r="F129" i="1"/>
  <c r="L137" i="1"/>
  <c r="O129" i="1"/>
  <c r="L129" i="1"/>
  <c r="M129" i="1"/>
  <c r="N129" i="1"/>
  <c r="J137" i="1"/>
  <c r="D129" i="1"/>
  <c r="G39" i="1"/>
  <c r="D39" i="1"/>
  <c r="D31" i="1"/>
  <c r="D23" i="1"/>
  <c r="I23" i="1"/>
  <c r="M61" i="1"/>
  <c r="N61" i="1"/>
  <c r="I61" i="1"/>
  <c r="P23" i="1"/>
  <c r="O23" i="1"/>
  <c r="J23" i="1"/>
  <c r="G61" i="1"/>
  <c r="H61" i="1"/>
  <c r="I160" i="1"/>
  <c r="F160" i="1"/>
  <c r="E160" i="1"/>
  <c r="Q160" i="1"/>
  <c r="G160" i="1"/>
  <c r="H160" i="1"/>
  <c r="L160" i="1"/>
  <c r="M160" i="1"/>
  <c r="I121" i="1"/>
  <c r="F61" i="1"/>
  <c r="H121" i="1"/>
  <c r="Q61" i="1"/>
  <c r="Q121" i="1" s="1"/>
  <c r="N23" i="1"/>
  <c r="N121" i="1"/>
  <c r="O160" i="1"/>
  <c r="E61" i="1"/>
  <c r="E121" i="1" s="1"/>
  <c r="K23" i="1"/>
  <c r="M23" i="1"/>
  <c r="D160" i="1"/>
  <c r="P160" i="1"/>
  <c r="N160" i="1"/>
  <c r="L23" i="1"/>
  <c r="M121" i="1"/>
  <c r="L61" i="1"/>
  <c r="L121" i="1" s="1"/>
  <c r="J61" i="1"/>
  <c r="J121" i="1" s="1"/>
  <c r="J160" i="1"/>
  <c r="O61" i="1"/>
  <c r="O121" i="1" s="1"/>
  <c r="K61" i="1"/>
  <c r="K121" i="1" s="1"/>
  <c r="H23" i="1"/>
  <c r="K160" i="1"/>
  <c r="D61" i="1"/>
  <c r="D121" i="1" s="1"/>
  <c r="P61" i="1"/>
  <c r="P121" i="1" s="1"/>
  <c r="Q23" i="1"/>
  <c r="E23" i="1"/>
  <c r="F23" i="1"/>
  <c r="G23" i="1"/>
  <c r="G121" i="1"/>
  <c r="Q96" i="1"/>
  <c r="E96" i="1"/>
  <c r="L190" i="1"/>
  <c r="O190" i="1"/>
  <c r="M96" i="1"/>
  <c r="M39" i="1" s="1"/>
  <c r="N96" i="1"/>
  <c r="O96" i="1"/>
  <c r="K190" i="1"/>
  <c r="Q190" i="1"/>
  <c r="D190" i="1"/>
  <c r="F190" i="1"/>
  <c r="H190" i="1"/>
  <c r="D96" i="1"/>
  <c r="E190" i="1"/>
  <c r="P190" i="1"/>
  <c r="P96" i="1"/>
  <c r="F96" i="1"/>
  <c r="M190" i="1"/>
  <c r="N190" i="1"/>
  <c r="J190" i="1"/>
  <c r="I190" i="1"/>
  <c r="L96" i="1"/>
  <c r="G190" i="1"/>
  <c r="K96" i="1"/>
  <c r="J96" i="1"/>
  <c r="G96" i="1"/>
  <c r="H96" i="1"/>
  <c r="I96" i="1"/>
  <c r="M31" i="1" l="1"/>
  <c r="I39" i="1"/>
  <c r="N31" i="1"/>
  <c r="N39" i="1"/>
  <c r="E39" i="1"/>
  <c r="L31" i="1"/>
  <c r="O31" i="1"/>
  <c r="O39" i="1"/>
  <c r="F31" i="1"/>
  <c r="F39" i="1"/>
  <c r="I31" i="1"/>
  <c r="K31" i="1"/>
  <c r="K39" i="1"/>
  <c r="P31" i="1"/>
  <c r="P39" i="1"/>
  <c r="L39" i="1"/>
  <c r="H31" i="1"/>
  <c r="H39" i="1"/>
  <c r="E31" i="1"/>
  <c r="J31" i="1"/>
  <c r="J39" i="1"/>
  <c r="Q31" i="1"/>
  <c r="Q39" i="1"/>
  <c r="G31" i="1"/>
  <c r="F121" i="1"/>
</calcChain>
</file>

<file path=xl/sharedStrings.xml><?xml version="1.0" encoding="utf-8"?>
<sst xmlns="http://schemas.openxmlformats.org/spreadsheetml/2006/main" count="119" uniqueCount="27">
  <si>
    <t>Collisions by Severity and Vulnerable Road User Type</t>
  </si>
  <si>
    <t>Severity</t>
  </si>
  <si>
    <t>VRU Type</t>
  </si>
  <si>
    <t>Property Damage Only</t>
  </si>
  <si>
    <t>Motor Vehicle Only</t>
  </si>
  <si>
    <t>Pedestrian</t>
  </si>
  <si>
    <t>Bike</t>
  </si>
  <si>
    <t>Bike and Pedestrian</t>
  </si>
  <si>
    <t>Total</t>
  </si>
  <si>
    <t>Non-Severe Injury</t>
  </si>
  <si>
    <t>Severe Injury</t>
  </si>
  <si>
    <t>Fatal</t>
  </si>
  <si>
    <t>Injuries and Fatalities by Vulnerable Road User Type</t>
  </si>
  <si>
    <t>Motorist</t>
  </si>
  <si>
    <t>Bicyclist</t>
  </si>
  <si>
    <t>Other</t>
  </si>
  <si>
    <t>Injury Collisions by Severity</t>
  </si>
  <si>
    <t>Injury Collisions by Vulnerable Road User Involvement</t>
  </si>
  <si>
    <t>Injuries by Vulnerable Road User Involvement</t>
  </si>
  <si>
    <t>Injuries by Severity</t>
  </si>
  <si>
    <t>2024*</t>
  </si>
  <si>
    <t>Injury + Fatal Collisions by Vulnerable Road User Involvement</t>
  </si>
  <si>
    <t>Fatal Collisions by Vulnerable Road User Involvement</t>
  </si>
  <si>
    <t>Injuries  + Fatalities by Vulnerable Road User Involvement</t>
  </si>
  <si>
    <t>Fatalities by Vulnerable Road User Involvement</t>
  </si>
  <si>
    <t>Injury Collisions involving Bicyclists and Pedestrians by Severity</t>
  </si>
  <si>
    <t>Injuries involving Bicyclists and Pedestrians by 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</si>
</sst>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/>
    <xf numFmtId="3" fontId="0" fillId="0" borderId="1" xfId="0" applyNumberForma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3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Injury Collisions by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Sheet1!$C$58</c:f>
              <c:strCache>
                <c:ptCount val="1"/>
                <c:pt idx="0">
                  <c:v>Non-Severe Injury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Sheet1!$D$57:$Q$57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Sheet1!$D$58:$Q$58</c:f>
              <c:numCache>
                <c:formatCode>#,##0</c:formatCode>
                <c:ptCount val="14"/>
                <c:pt idx="0">
                  <c:v>1037</c:v>
                </c:pt>
                <c:pt idx="1">
                  <c:v>1071</c:v>
                </c:pt>
                <c:pt idx="2">
                  <c:v>699</c:v>
                </c:pt>
                <c:pt idx="3">
                  <c:v>968</c:v>
                </c:pt>
                <c:pt idx="4">
                  <c:v>931</c:v>
                </c:pt>
                <c:pt idx="5">
                  <c:v>1051</c:v>
                </c:pt>
                <c:pt idx="6">
                  <c:v>1082</c:v>
                </c:pt>
                <c:pt idx="7">
                  <c:v>994</c:v>
                </c:pt>
                <c:pt idx="8">
                  <c:v>1055</c:v>
                </c:pt>
                <c:pt idx="9">
                  <c:v>778</c:v>
                </c:pt>
                <c:pt idx="10">
                  <c:v>964</c:v>
                </c:pt>
                <c:pt idx="11">
                  <c:v>1000</c:v>
                </c:pt>
                <c:pt idx="12">
                  <c:v>944</c:v>
                </c:pt>
                <c:pt idx="13">
                  <c:v>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7-4C1C-A581-E546EB440D80}"/>
            </c:ext>
          </c:extLst>
        </c:ser>
        <c:ser>
          <c:idx val="1"/>
          <c:order val="1"/>
          <c:tx>
            <c:strRef>
              <c:f>Sheet1!$C$59</c:f>
              <c:strCache>
                <c:ptCount val="1"/>
                <c:pt idx="0">
                  <c:v>Severe Injury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Sheet1!$D$57:$Q$57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Sheet1!$D$59:$Q$59</c:f>
              <c:numCache>
                <c:formatCode>#,##0</c:formatCode>
                <c:ptCount val="14"/>
                <c:pt idx="0">
                  <c:v>200</c:v>
                </c:pt>
                <c:pt idx="1">
                  <c:v>206</c:v>
                </c:pt>
                <c:pt idx="2">
                  <c:v>137</c:v>
                </c:pt>
                <c:pt idx="3">
                  <c:v>228</c:v>
                </c:pt>
                <c:pt idx="4">
                  <c:v>223</c:v>
                </c:pt>
                <c:pt idx="5">
                  <c:v>269</c:v>
                </c:pt>
                <c:pt idx="6">
                  <c:v>268</c:v>
                </c:pt>
                <c:pt idx="7">
                  <c:v>276</c:v>
                </c:pt>
                <c:pt idx="8">
                  <c:v>304</c:v>
                </c:pt>
                <c:pt idx="9">
                  <c:v>208</c:v>
                </c:pt>
                <c:pt idx="10">
                  <c:v>282</c:v>
                </c:pt>
                <c:pt idx="11">
                  <c:v>275</c:v>
                </c:pt>
                <c:pt idx="12">
                  <c:v>228</c:v>
                </c:pt>
                <c:pt idx="13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B7-4C1C-A581-E546EB440D80}"/>
            </c:ext>
          </c:extLst>
        </c:ser>
        <c:ser>
          <c:idx val="2"/>
          <c:order val="2"/>
          <c:tx>
            <c:strRef>
              <c:f>Sheet1!$C$60</c:f>
              <c:strCache>
                <c:ptCount val="1"/>
                <c:pt idx="0">
                  <c:v>Fatal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Sheet1!$D$57:$Q$57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Sheet1!$D$60:$Q$60</c:f>
              <c:numCache>
                <c:formatCode>#,##0</c:formatCode>
                <c:ptCount val="14"/>
                <c:pt idx="0">
                  <c:v>33</c:v>
                </c:pt>
                <c:pt idx="1">
                  <c:v>31</c:v>
                </c:pt>
                <c:pt idx="2">
                  <c:v>34</c:v>
                </c:pt>
                <c:pt idx="3">
                  <c:v>30</c:v>
                </c:pt>
                <c:pt idx="4">
                  <c:v>36</c:v>
                </c:pt>
                <c:pt idx="5">
                  <c:v>34</c:v>
                </c:pt>
                <c:pt idx="6">
                  <c:v>24</c:v>
                </c:pt>
                <c:pt idx="7">
                  <c:v>27</c:v>
                </c:pt>
                <c:pt idx="8">
                  <c:v>34</c:v>
                </c:pt>
                <c:pt idx="9">
                  <c:v>30</c:v>
                </c:pt>
                <c:pt idx="10">
                  <c:v>33</c:v>
                </c:pt>
                <c:pt idx="11">
                  <c:v>42</c:v>
                </c:pt>
                <c:pt idx="12">
                  <c:v>36</c:v>
                </c:pt>
                <c:pt idx="1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B7-4C1C-A581-E546EB440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565983"/>
        <c:axId val="43568383"/>
      </c:barChart>
      <c:catAx>
        <c:axId val="4356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8383"/>
        <c:crosses val="autoZero"/>
        <c:auto val="1"/>
        <c:lblAlgn val="ctr"/>
        <c:lblOffset val="100"/>
        <c:noMultiLvlLbl val="0"/>
      </c:catAx>
      <c:valAx>
        <c:axId val="4356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Injury Collisions by Vulnerable</a:t>
            </a:r>
            <a:r>
              <a:rPr lang="en-US" baseline="0"/>
              <a:t> Road User Involvement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Sheet1!$C$19</c:f>
              <c:strCache>
                <c:ptCount val="1"/>
                <c:pt idx="0">
                  <c:v>Motor Vehicle Only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Sheet1!$D$18:$Q$18</c:f>
              <c:strCach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2024*</c:v>
                </c:pt>
              </c:strCache>
            </c:strRef>
          </c:cat>
          <c:val>
            <c:numRef>
              <c:f>Sheet1!$D$19:$Q$19</c:f>
              <c:numCache>
                <c:formatCode>#,##0</c:formatCode>
                <c:ptCount val="14"/>
                <c:pt idx="0">
                  <c:v>609</c:v>
                </c:pt>
                <c:pt idx="1">
                  <c:v>569</c:v>
                </c:pt>
                <c:pt idx="2">
                  <c:v>401</c:v>
                </c:pt>
                <c:pt idx="3">
                  <c:v>556</c:v>
                </c:pt>
                <c:pt idx="4">
                  <c:v>558</c:v>
                </c:pt>
                <c:pt idx="5">
                  <c:v>680</c:v>
                </c:pt>
                <c:pt idx="6">
                  <c:v>706</c:v>
                </c:pt>
                <c:pt idx="7">
                  <c:v>652</c:v>
                </c:pt>
                <c:pt idx="8">
                  <c:v>730</c:v>
                </c:pt>
                <c:pt idx="9">
                  <c:v>568</c:v>
                </c:pt>
                <c:pt idx="10">
                  <c:v>768</c:v>
                </c:pt>
                <c:pt idx="11">
                  <c:v>782</c:v>
                </c:pt>
                <c:pt idx="12">
                  <c:v>712</c:v>
                </c:pt>
                <c:pt idx="13">
                  <c:v>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0-466D-A25D-8C4D2F76B4F2}"/>
            </c:ext>
          </c:extLst>
        </c:ser>
        <c:ser>
          <c:idx val="1"/>
          <c:order val="1"/>
          <c:tx>
            <c:strRef>
              <c:f>Sheet1!$C$20</c:f>
              <c:strCache>
                <c:ptCount val="1"/>
                <c:pt idx="0">
                  <c:v>Pedestrian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Sheet1!$D$18:$Q$18</c:f>
              <c:strCach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2024*</c:v>
                </c:pt>
              </c:strCache>
            </c:strRef>
          </c:cat>
          <c:val>
            <c:numRef>
              <c:f>Sheet1!$D$20:$Q$20</c:f>
              <c:numCache>
                <c:formatCode>#,##0</c:formatCode>
                <c:ptCount val="14"/>
                <c:pt idx="0">
                  <c:v>328</c:v>
                </c:pt>
                <c:pt idx="1">
                  <c:v>388</c:v>
                </c:pt>
                <c:pt idx="2">
                  <c:v>225</c:v>
                </c:pt>
                <c:pt idx="3">
                  <c:v>334</c:v>
                </c:pt>
                <c:pt idx="4">
                  <c:v>332</c:v>
                </c:pt>
                <c:pt idx="5">
                  <c:v>376</c:v>
                </c:pt>
                <c:pt idx="6">
                  <c:v>365</c:v>
                </c:pt>
                <c:pt idx="7">
                  <c:v>337</c:v>
                </c:pt>
                <c:pt idx="8">
                  <c:v>368</c:v>
                </c:pt>
                <c:pt idx="9">
                  <c:v>243</c:v>
                </c:pt>
                <c:pt idx="10">
                  <c:v>276</c:v>
                </c:pt>
                <c:pt idx="11">
                  <c:v>298</c:v>
                </c:pt>
                <c:pt idx="12">
                  <c:v>290</c:v>
                </c:pt>
                <c:pt idx="13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60-466D-A25D-8C4D2F76B4F2}"/>
            </c:ext>
          </c:extLst>
        </c:ser>
        <c:ser>
          <c:idx val="2"/>
          <c:order val="2"/>
          <c:tx>
            <c:strRef>
              <c:f>Sheet1!$C$21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Sheet1!$D$18:$Q$18</c:f>
              <c:strCach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2024*</c:v>
                </c:pt>
              </c:strCache>
            </c:strRef>
          </c:cat>
          <c:val>
            <c:numRef>
              <c:f>Sheet1!$D$21:$Q$21</c:f>
              <c:numCache>
                <c:formatCode>#,##0</c:formatCode>
                <c:ptCount val="14"/>
                <c:pt idx="0">
                  <c:v>317</c:v>
                </c:pt>
                <c:pt idx="1">
                  <c:v>324</c:v>
                </c:pt>
                <c:pt idx="2">
                  <c:v>227</c:v>
                </c:pt>
                <c:pt idx="3">
                  <c:v>319</c:v>
                </c:pt>
                <c:pt idx="4">
                  <c:v>287</c:v>
                </c:pt>
                <c:pt idx="5">
                  <c:v>288</c:v>
                </c:pt>
                <c:pt idx="6">
                  <c:v>282</c:v>
                </c:pt>
                <c:pt idx="7">
                  <c:v>290</c:v>
                </c:pt>
                <c:pt idx="8">
                  <c:v>280</c:v>
                </c:pt>
                <c:pt idx="9">
                  <c:v>191</c:v>
                </c:pt>
                <c:pt idx="10">
                  <c:v>222</c:v>
                </c:pt>
                <c:pt idx="11">
                  <c:v>220</c:v>
                </c:pt>
                <c:pt idx="12">
                  <c:v>194</c:v>
                </c:pt>
                <c:pt idx="13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60-466D-A25D-8C4D2F76B4F2}"/>
            </c:ext>
          </c:extLst>
        </c:ser>
        <c:ser>
          <c:idx val="3"/>
          <c:order val="3"/>
          <c:tx>
            <c:strRef>
              <c:f>Sheet1!$C$22</c:f>
              <c:strCache>
                <c:ptCount val="1"/>
                <c:pt idx="0">
                  <c:v>Bike and Pedestrian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Sheet1!$D$18:$Q$18</c:f>
              <c:strCach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2024*</c:v>
                </c:pt>
              </c:strCache>
            </c:strRef>
          </c:cat>
          <c:val>
            <c:numRef>
              <c:f>Sheet1!$D$22:$Q$22</c:f>
              <c:numCache>
                <c:formatCode>#,##0</c:formatCode>
                <c:ptCount val="14"/>
                <c:pt idx="0">
                  <c:v>16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13</c:v>
                </c:pt>
                <c:pt idx="5">
                  <c:v>10</c:v>
                </c:pt>
                <c:pt idx="6">
                  <c:v>21</c:v>
                </c:pt>
                <c:pt idx="7">
                  <c:v>18</c:v>
                </c:pt>
                <c:pt idx="8">
                  <c:v>15</c:v>
                </c:pt>
                <c:pt idx="9">
                  <c:v>14</c:v>
                </c:pt>
                <c:pt idx="10">
                  <c:v>13</c:v>
                </c:pt>
                <c:pt idx="11">
                  <c:v>17</c:v>
                </c:pt>
                <c:pt idx="12">
                  <c:v>12</c:v>
                </c:pt>
                <c:pt idx="1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60-466D-A25D-8C4D2F76B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565983"/>
        <c:axId val="43568383"/>
      </c:barChart>
      <c:catAx>
        <c:axId val="4356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8383"/>
        <c:crosses val="autoZero"/>
        <c:auto val="1"/>
        <c:lblAlgn val="ctr"/>
        <c:lblOffset val="100"/>
        <c:noMultiLvlLbl val="0"/>
      </c:catAx>
      <c:valAx>
        <c:axId val="4356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Injury</a:t>
            </a:r>
            <a:r>
              <a:rPr lang="en-US" baseline="0"/>
              <a:t> + Fatal </a:t>
            </a:r>
            <a:r>
              <a:rPr lang="en-US"/>
              <a:t>Collisions by Vulnerable</a:t>
            </a:r>
            <a:r>
              <a:rPr lang="en-US" baseline="0"/>
              <a:t> Road User Involvement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Sheet1!$C$19</c:f>
              <c:strCache>
                <c:ptCount val="1"/>
                <c:pt idx="0">
                  <c:v>Motor Vehicle Only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Sheet1!$D$18:$Q$18</c:f>
              <c:strCach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2024*</c:v>
                </c:pt>
              </c:strCache>
            </c:strRef>
          </c:cat>
          <c:val>
            <c:numRef>
              <c:f>Sheet1!$D$19:$Q$19</c:f>
              <c:numCache>
                <c:formatCode>#,##0</c:formatCode>
                <c:ptCount val="14"/>
                <c:pt idx="0">
                  <c:v>609</c:v>
                </c:pt>
                <c:pt idx="1">
                  <c:v>569</c:v>
                </c:pt>
                <c:pt idx="2">
                  <c:v>401</c:v>
                </c:pt>
                <c:pt idx="3">
                  <c:v>556</c:v>
                </c:pt>
                <c:pt idx="4">
                  <c:v>558</c:v>
                </c:pt>
                <c:pt idx="5">
                  <c:v>680</c:v>
                </c:pt>
                <c:pt idx="6">
                  <c:v>706</c:v>
                </c:pt>
                <c:pt idx="7">
                  <c:v>652</c:v>
                </c:pt>
                <c:pt idx="8">
                  <c:v>730</c:v>
                </c:pt>
                <c:pt idx="9">
                  <c:v>568</c:v>
                </c:pt>
                <c:pt idx="10">
                  <c:v>768</c:v>
                </c:pt>
                <c:pt idx="11">
                  <c:v>782</c:v>
                </c:pt>
                <c:pt idx="12">
                  <c:v>712</c:v>
                </c:pt>
                <c:pt idx="13">
                  <c:v>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2-4E06-BBB1-4D2621D5CC4B}"/>
            </c:ext>
          </c:extLst>
        </c:ser>
        <c:ser>
          <c:idx val="1"/>
          <c:order val="1"/>
          <c:tx>
            <c:strRef>
              <c:f>Sheet1!$C$20</c:f>
              <c:strCache>
                <c:ptCount val="1"/>
                <c:pt idx="0">
                  <c:v>Pedestrian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Sheet1!$D$18:$Q$18</c:f>
              <c:strCach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2024*</c:v>
                </c:pt>
              </c:strCache>
            </c:strRef>
          </c:cat>
          <c:val>
            <c:numRef>
              <c:f>Sheet1!$D$20:$Q$20</c:f>
              <c:numCache>
                <c:formatCode>#,##0</c:formatCode>
                <c:ptCount val="14"/>
                <c:pt idx="0">
                  <c:v>328</c:v>
                </c:pt>
                <c:pt idx="1">
                  <c:v>388</c:v>
                </c:pt>
                <c:pt idx="2">
                  <c:v>225</c:v>
                </c:pt>
                <c:pt idx="3">
                  <c:v>334</c:v>
                </c:pt>
                <c:pt idx="4">
                  <c:v>332</c:v>
                </c:pt>
                <c:pt idx="5">
                  <c:v>376</c:v>
                </c:pt>
                <c:pt idx="6">
                  <c:v>365</c:v>
                </c:pt>
                <c:pt idx="7">
                  <c:v>337</c:v>
                </c:pt>
                <c:pt idx="8">
                  <c:v>368</c:v>
                </c:pt>
                <c:pt idx="9">
                  <c:v>243</c:v>
                </c:pt>
                <c:pt idx="10">
                  <c:v>276</c:v>
                </c:pt>
                <c:pt idx="11">
                  <c:v>298</c:v>
                </c:pt>
                <c:pt idx="12">
                  <c:v>290</c:v>
                </c:pt>
                <c:pt idx="13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B2-4E06-BBB1-4D2621D5CC4B}"/>
            </c:ext>
          </c:extLst>
        </c:ser>
        <c:ser>
          <c:idx val="2"/>
          <c:order val="2"/>
          <c:tx>
            <c:strRef>
              <c:f>Sheet1!$C$21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Sheet1!$D$18:$Q$18</c:f>
              <c:strCach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2024*</c:v>
                </c:pt>
              </c:strCache>
            </c:strRef>
          </c:cat>
          <c:val>
            <c:numRef>
              <c:f>Sheet1!$D$21:$Q$21</c:f>
              <c:numCache>
                <c:formatCode>#,##0</c:formatCode>
                <c:ptCount val="14"/>
                <c:pt idx="0">
                  <c:v>317</c:v>
                </c:pt>
                <c:pt idx="1">
                  <c:v>324</c:v>
                </c:pt>
                <c:pt idx="2">
                  <c:v>227</c:v>
                </c:pt>
                <c:pt idx="3">
                  <c:v>319</c:v>
                </c:pt>
                <c:pt idx="4">
                  <c:v>287</c:v>
                </c:pt>
                <c:pt idx="5">
                  <c:v>288</c:v>
                </c:pt>
                <c:pt idx="6">
                  <c:v>282</c:v>
                </c:pt>
                <c:pt idx="7">
                  <c:v>290</c:v>
                </c:pt>
                <c:pt idx="8">
                  <c:v>280</c:v>
                </c:pt>
                <c:pt idx="9">
                  <c:v>191</c:v>
                </c:pt>
                <c:pt idx="10">
                  <c:v>222</c:v>
                </c:pt>
                <c:pt idx="11">
                  <c:v>220</c:v>
                </c:pt>
                <c:pt idx="12">
                  <c:v>194</c:v>
                </c:pt>
                <c:pt idx="13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B2-4E06-BBB1-4D2621D5CC4B}"/>
            </c:ext>
          </c:extLst>
        </c:ser>
        <c:ser>
          <c:idx val="3"/>
          <c:order val="3"/>
          <c:tx>
            <c:strRef>
              <c:f>Sheet1!$C$22</c:f>
              <c:strCache>
                <c:ptCount val="1"/>
                <c:pt idx="0">
                  <c:v>Bike and Pedestrian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Sheet1!$D$18:$Q$18</c:f>
              <c:strCach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2024*</c:v>
                </c:pt>
              </c:strCache>
            </c:strRef>
          </c:cat>
          <c:val>
            <c:numRef>
              <c:f>Sheet1!$D$22:$Q$22</c:f>
              <c:numCache>
                <c:formatCode>#,##0</c:formatCode>
                <c:ptCount val="14"/>
                <c:pt idx="0">
                  <c:v>16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13</c:v>
                </c:pt>
                <c:pt idx="5">
                  <c:v>10</c:v>
                </c:pt>
                <c:pt idx="6">
                  <c:v>21</c:v>
                </c:pt>
                <c:pt idx="7">
                  <c:v>18</c:v>
                </c:pt>
                <c:pt idx="8">
                  <c:v>15</c:v>
                </c:pt>
                <c:pt idx="9">
                  <c:v>14</c:v>
                </c:pt>
                <c:pt idx="10">
                  <c:v>13</c:v>
                </c:pt>
                <c:pt idx="11">
                  <c:v>17</c:v>
                </c:pt>
                <c:pt idx="12">
                  <c:v>12</c:v>
                </c:pt>
                <c:pt idx="1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B2-4E06-BBB1-4D2621D5C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565983"/>
        <c:axId val="43568383"/>
      </c:barChart>
      <c:catAx>
        <c:axId val="4356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8383"/>
        <c:crosses val="autoZero"/>
        <c:auto val="1"/>
        <c:lblAlgn val="ctr"/>
        <c:lblOffset val="100"/>
        <c:noMultiLvlLbl val="0"/>
      </c:catAx>
      <c:valAx>
        <c:axId val="4356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Injury Collisions by Vulnerable</a:t>
            </a:r>
            <a:r>
              <a:rPr lang="en-US" baseline="0"/>
              <a:t> Road User Involvement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Sheet1!$C$35</c:f>
              <c:strCache>
                <c:ptCount val="1"/>
                <c:pt idx="0">
                  <c:v>Motor Vehicle Only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Sheet1!$D$18:$Q$18</c:f>
              <c:strCach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2024*</c:v>
                </c:pt>
              </c:strCache>
            </c:strRef>
          </c:cat>
          <c:val>
            <c:numRef>
              <c:f>Sheet1!$D$35:$Q$35</c:f>
              <c:numCache>
                <c:formatCode>#,##0</c:formatCode>
                <c:ptCount val="14"/>
                <c:pt idx="0">
                  <c:v>13</c:v>
                </c:pt>
                <c:pt idx="1">
                  <c:v>14</c:v>
                </c:pt>
                <c:pt idx="2">
                  <c:v>9</c:v>
                </c:pt>
                <c:pt idx="3">
                  <c:v>10</c:v>
                </c:pt>
                <c:pt idx="4">
                  <c:v>8</c:v>
                </c:pt>
                <c:pt idx="5">
                  <c:v>12</c:v>
                </c:pt>
                <c:pt idx="6">
                  <c:v>7</c:v>
                </c:pt>
                <c:pt idx="7">
                  <c:v>7</c:v>
                </c:pt>
                <c:pt idx="8">
                  <c:v>14</c:v>
                </c:pt>
                <c:pt idx="9">
                  <c:v>16</c:v>
                </c:pt>
                <c:pt idx="10">
                  <c:v>17</c:v>
                </c:pt>
                <c:pt idx="11">
                  <c:v>23</c:v>
                </c:pt>
                <c:pt idx="12">
                  <c:v>15</c:v>
                </c:pt>
                <c:pt idx="1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7-4729-A69E-EA37FD7C19E0}"/>
            </c:ext>
          </c:extLst>
        </c:ser>
        <c:ser>
          <c:idx val="1"/>
          <c:order val="1"/>
          <c:tx>
            <c:strRef>
              <c:f>Sheet1!$C$36</c:f>
              <c:strCache>
                <c:ptCount val="1"/>
                <c:pt idx="0">
                  <c:v>Pedestrian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Sheet1!$D$18:$Q$18</c:f>
              <c:strCach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2024*</c:v>
                </c:pt>
              </c:strCache>
            </c:strRef>
          </c:cat>
          <c:val>
            <c:numRef>
              <c:f>Sheet1!$D$36:$Q$36</c:f>
              <c:numCache>
                <c:formatCode>#,##0</c:formatCode>
                <c:ptCount val="14"/>
                <c:pt idx="0">
                  <c:v>16</c:v>
                </c:pt>
                <c:pt idx="1">
                  <c:v>15</c:v>
                </c:pt>
                <c:pt idx="2">
                  <c:v>21</c:v>
                </c:pt>
                <c:pt idx="3">
                  <c:v>18</c:v>
                </c:pt>
                <c:pt idx="4">
                  <c:v>24</c:v>
                </c:pt>
                <c:pt idx="5">
                  <c:v>18</c:v>
                </c:pt>
                <c:pt idx="6">
                  <c:v>15</c:v>
                </c:pt>
                <c:pt idx="7">
                  <c:v>16</c:v>
                </c:pt>
                <c:pt idx="8">
                  <c:v>19</c:v>
                </c:pt>
                <c:pt idx="9">
                  <c:v>12</c:v>
                </c:pt>
                <c:pt idx="10">
                  <c:v>15</c:v>
                </c:pt>
                <c:pt idx="11">
                  <c:v>17</c:v>
                </c:pt>
                <c:pt idx="12">
                  <c:v>20</c:v>
                </c:pt>
                <c:pt idx="1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C7-4729-A69E-EA37FD7C19E0}"/>
            </c:ext>
          </c:extLst>
        </c:ser>
        <c:ser>
          <c:idx val="2"/>
          <c:order val="2"/>
          <c:tx>
            <c:strRef>
              <c:f>Sheet1!$C$37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Sheet1!$D$18:$Q$18</c:f>
              <c:strCach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2024*</c:v>
                </c:pt>
              </c:strCache>
            </c:strRef>
          </c:cat>
          <c:val>
            <c:numRef>
              <c:f>Sheet1!$D$37:$Q$37</c:f>
              <c:numCache>
                <c:formatCode>#,##0</c:formatCode>
                <c:ptCount val="14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C7-4729-A69E-EA37FD7C19E0}"/>
            </c:ext>
          </c:extLst>
        </c:ser>
        <c:ser>
          <c:idx val="3"/>
          <c:order val="3"/>
          <c:tx>
            <c:strRef>
              <c:f>Sheet1!$C$38</c:f>
              <c:strCache>
                <c:ptCount val="1"/>
                <c:pt idx="0">
                  <c:v>Bike and Pedestrian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Sheet1!$D$18:$Q$18</c:f>
              <c:strCach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2024*</c:v>
                </c:pt>
              </c:strCache>
            </c:strRef>
          </c:cat>
          <c:val>
            <c:numRef>
              <c:f>Sheet1!$D$38:$Q$38</c:f>
              <c:numCache>
                <c:formatCode>#,##0</c:formatCode>
                <c:ptCount val="14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C7-4729-A69E-EA37FD7C1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565983"/>
        <c:axId val="43568383"/>
      </c:barChart>
      <c:catAx>
        <c:axId val="4356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8383"/>
        <c:crosses val="autoZero"/>
        <c:auto val="1"/>
        <c:lblAlgn val="ctr"/>
        <c:lblOffset val="100"/>
        <c:noMultiLvlLbl val="0"/>
      </c:catAx>
      <c:valAx>
        <c:axId val="4356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Injuries by Vulnerable</a:t>
            </a:r>
            <a:r>
              <a:rPr lang="en-US" baseline="0"/>
              <a:t> Road User Involvement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Sheet1!$C$125</c:f>
              <c:strCache>
                <c:ptCount val="1"/>
                <c:pt idx="0">
                  <c:v>Motorist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numRef>
              <c:f>Sheet1!$D$124:$Q$124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Sheet1!$D$125:$Q$125</c:f>
              <c:numCache>
                <c:formatCode>#,##0</c:formatCode>
                <c:ptCount val="14"/>
                <c:pt idx="0">
                  <c:v>3142</c:v>
                </c:pt>
                <c:pt idx="1">
                  <c:v>3051</c:v>
                </c:pt>
                <c:pt idx="2">
                  <c:v>2262</c:v>
                </c:pt>
                <c:pt idx="3">
                  <c:v>3180</c:v>
                </c:pt>
                <c:pt idx="4">
                  <c:v>2957</c:v>
                </c:pt>
                <c:pt idx="5">
                  <c:v>3535</c:v>
                </c:pt>
                <c:pt idx="6">
                  <c:v>3621</c:v>
                </c:pt>
                <c:pt idx="7">
                  <c:v>3437</c:v>
                </c:pt>
                <c:pt idx="8">
                  <c:v>3521</c:v>
                </c:pt>
                <c:pt idx="9">
                  <c:v>2386</c:v>
                </c:pt>
                <c:pt idx="10">
                  <c:v>3090</c:v>
                </c:pt>
                <c:pt idx="11">
                  <c:v>3183</c:v>
                </c:pt>
                <c:pt idx="12">
                  <c:v>3131</c:v>
                </c:pt>
                <c:pt idx="13">
                  <c:v>3046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E-43F9-A2B2-ADFBD7015B1E}"/>
            </c:ext>
          </c:extLst>
        </c:ser>
        <c:ser>
          <c:idx val="1"/>
          <c:order val="1"/>
          <c:tx>
            <c:strRef>
              <c:f>Sheet1!$C$126</c:f>
              <c:strCache>
                <c:ptCount val="1"/>
                <c:pt idx="0">
                  <c:v>Pedestrian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Sheet1!$D$124:$Q$124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Sheet1!$D$126:$Q$126</c:f>
              <c:numCache>
                <c:formatCode>#,##0</c:formatCode>
                <c:ptCount val="14"/>
                <c:pt idx="0">
                  <c:v>845</c:v>
                </c:pt>
                <c:pt idx="1">
                  <c:v>970</c:v>
                </c:pt>
                <c:pt idx="2">
                  <c:v>536</c:v>
                </c:pt>
                <c:pt idx="3">
                  <c:v>861</c:v>
                </c:pt>
                <c:pt idx="4">
                  <c:v>759</c:v>
                </c:pt>
                <c:pt idx="5">
                  <c:v>875</c:v>
                </c:pt>
                <c:pt idx="6">
                  <c:v>859</c:v>
                </c:pt>
                <c:pt idx="7">
                  <c:v>836</c:v>
                </c:pt>
                <c:pt idx="8">
                  <c:v>831</c:v>
                </c:pt>
                <c:pt idx="9">
                  <c:v>510</c:v>
                </c:pt>
                <c:pt idx="10">
                  <c:v>566</c:v>
                </c:pt>
                <c:pt idx="11">
                  <c:v>586</c:v>
                </c:pt>
                <c:pt idx="12">
                  <c:v>608</c:v>
                </c:pt>
                <c:pt idx="13">
                  <c:v>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6E-43F9-A2B2-ADFBD7015B1E}"/>
            </c:ext>
          </c:extLst>
        </c:ser>
        <c:ser>
          <c:idx val="2"/>
          <c:order val="2"/>
          <c:tx>
            <c:strRef>
              <c:f>Sheet1!$C$127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Sheet1!$D$124:$Q$124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Sheet1!$D$127:$Q$127</c:f>
              <c:numCache>
                <c:formatCode>#,##0</c:formatCode>
                <c:ptCount val="14"/>
                <c:pt idx="0">
                  <c:v>609</c:v>
                </c:pt>
                <c:pt idx="1">
                  <c:v>623</c:v>
                </c:pt>
                <c:pt idx="2">
                  <c:v>431</c:v>
                </c:pt>
                <c:pt idx="3">
                  <c:v>633</c:v>
                </c:pt>
                <c:pt idx="4">
                  <c:v>551</c:v>
                </c:pt>
                <c:pt idx="5">
                  <c:v>548</c:v>
                </c:pt>
                <c:pt idx="6">
                  <c:v>536</c:v>
                </c:pt>
                <c:pt idx="7">
                  <c:v>550</c:v>
                </c:pt>
                <c:pt idx="8">
                  <c:v>532</c:v>
                </c:pt>
                <c:pt idx="9">
                  <c:v>358</c:v>
                </c:pt>
                <c:pt idx="10">
                  <c:v>393</c:v>
                </c:pt>
                <c:pt idx="11">
                  <c:v>365</c:v>
                </c:pt>
                <c:pt idx="12">
                  <c:v>365</c:v>
                </c:pt>
                <c:pt idx="13">
                  <c:v>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6E-43F9-A2B2-ADFBD7015B1E}"/>
            </c:ext>
          </c:extLst>
        </c:ser>
        <c:ser>
          <c:idx val="3"/>
          <c:order val="3"/>
          <c:tx>
            <c:strRef>
              <c:f>Sheet1!$C$128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Sheet1!$D$124:$Q$124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Sheet1!$D$128:$Q$128</c:f>
              <c:numCache>
                <c:formatCode>#,##0</c:formatCode>
                <c:ptCount val="14"/>
                <c:pt idx="0">
                  <c:v>14</c:v>
                </c:pt>
                <c:pt idx="1">
                  <c:v>18</c:v>
                </c:pt>
                <c:pt idx="2">
                  <c:v>13</c:v>
                </c:pt>
                <c:pt idx="3">
                  <c:v>28</c:v>
                </c:pt>
                <c:pt idx="4">
                  <c:v>32</c:v>
                </c:pt>
                <c:pt idx="5">
                  <c:v>34</c:v>
                </c:pt>
                <c:pt idx="6">
                  <c:v>43</c:v>
                </c:pt>
                <c:pt idx="7">
                  <c:v>49</c:v>
                </c:pt>
                <c:pt idx="8">
                  <c:v>114</c:v>
                </c:pt>
                <c:pt idx="9">
                  <c:v>73</c:v>
                </c:pt>
                <c:pt idx="10">
                  <c:v>149</c:v>
                </c:pt>
                <c:pt idx="11">
                  <c:v>178</c:v>
                </c:pt>
                <c:pt idx="12">
                  <c:v>119</c:v>
                </c:pt>
                <c:pt idx="1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6E-43F9-A2B2-ADFBD7015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565983"/>
        <c:axId val="43568383"/>
      </c:barChart>
      <c:catAx>
        <c:axId val="4356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8383"/>
        <c:crosses val="autoZero"/>
        <c:auto val="1"/>
        <c:lblAlgn val="ctr"/>
        <c:lblOffset val="100"/>
        <c:noMultiLvlLbl val="0"/>
      </c:catAx>
      <c:valAx>
        <c:axId val="4356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Injuries</a:t>
            </a:r>
            <a:r>
              <a:rPr lang="en-US" baseline="0"/>
              <a:t> + Fatalities</a:t>
            </a:r>
            <a:r>
              <a:rPr lang="en-US"/>
              <a:t> by Vulnerable</a:t>
            </a:r>
            <a:r>
              <a:rPr lang="en-US" baseline="0"/>
              <a:t> Road User Involvement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Sheet1!$C$117</c:f>
              <c:strCache>
                <c:ptCount val="1"/>
                <c:pt idx="0">
                  <c:v>Motorist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numRef>
              <c:f>Sheet1!$D$116:$Q$116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Sheet1!$D$117:$Q$117</c:f>
              <c:numCache>
                <c:formatCode>#,##0</c:formatCode>
                <c:ptCount val="14"/>
                <c:pt idx="0">
                  <c:v>3155</c:v>
                </c:pt>
                <c:pt idx="1">
                  <c:v>3065</c:v>
                </c:pt>
                <c:pt idx="2">
                  <c:v>2272</c:v>
                </c:pt>
                <c:pt idx="3">
                  <c:v>3191</c:v>
                </c:pt>
                <c:pt idx="4">
                  <c:v>2966</c:v>
                </c:pt>
                <c:pt idx="5">
                  <c:v>3549</c:v>
                </c:pt>
                <c:pt idx="6">
                  <c:v>3628</c:v>
                </c:pt>
                <c:pt idx="7">
                  <c:v>3444</c:v>
                </c:pt>
                <c:pt idx="8">
                  <c:v>3540</c:v>
                </c:pt>
                <c:pt idx="9">
                  <c:v>2401</c:v>
                </c:pt>
                <c:pt idx="10">
                  <c:v>3107</c:v>
                </c:pt>
                <c:pt idx="11">
                  <c:v>3203</c:v>
                </c:pt>
                <c:pt idx="12">
                  <c:v>3146</c:v>
                </c:pt>
                <c:pt idx="13">
                  <c:v>3065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5-486A-B972-565A030292C6}"/>
            </c:ext>
          </c:extLst>
        </c:ser>
        <c:ser>
          <c:idx val="1"/>
          <c:order val="1"/>
          <c:tx>
            <c:strRef>
              <c:f>Sheet1!$C$118</c:f>
              <c:strCache>
                <c:ptCount val="1"/>
                <c:pt idx="0">
                  <c:v>Pedestrian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Sheet1!$D$116:$Q$116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Sheet1!$D$118:$Q$118</c:f>
              <c:numCache>
                <c:formatCode>#,##0</c:formatCode>
                <c:ptCount val="14"/>
                <c:pt idx="0">
                  <c:v>862</c:v>
                </c:pt>
                <c:pt idx="1">
                  <c:v>986</c:v>
                </c:pt>
                <c:pt idx="2">
                  <c:v>557</c:v>
                </c:pt>
                <c:pt idx="3">
                  <c:v>879</c:v>
                </c:pt>
                <c:pt idx="4">
                  <c:v>782</c:v>
                </c:pt>
                <c:pt idx="5">
                  <c:v>893</c:v>
                </c:pt>
                <c:pt idx="6">
                  <c:v>874</c:v>
                </c:pt>
                <c:pt idx="7">
                  <c:v>852</c:v>
                </c:pt>
                <c:pt idx="8">
                  <c:v>850</c:v>
                </c:pt>
                <c:pt idx="9">
                  <c:v>523</c:v>
                </c:pt>
                <c:pt idx="10">
                  <c:v>581</c:v>
                </c:pt>
                <c:pt idx="11">
                  <c:v>604</c:v>
                </c:pt>
                <c:pt idx="12">
                  <c:v>628</c:v>
                </c:pt>
                <c:pt idx="13">
                  <c:v>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85-486A-B972-565A030292C6}"/>
            </c:ext>
          </c:extLst>
        </c:ser>
        <c:ser>
          <c:idx val="2"/>
          <c:order val="2"/>
          <c:tx>
            <c:strRef>
              <c:f>Sheet1!$C$119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Sheet1!$D$116:$Q$116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Sheet1!$D$119:$Q$119</c:f>
              <c:numCache>
                <c:formatCode>#,##0</c:formatCode>
                <c:ptCount val="14"/>
                <c:pt idx="0">
                  <c:v>612</c:v>
                </c:pt>
                <c:pt idx="1">
                  <c:v>624</c:v>
                </c:pt>
                <c:pt idx="2">
                  <c:v>435</c:v>
                </c:pt>
                <c:pt idx="3">
                  <c:v>635</c:v>
                </c:pt>
                <c:pt idx="4">
                  <c:v>555</c:v>
                </c:pt>
                <c:pt idx="5">
                  <c:v>552</c:v>
                </c:pt>
                <c:pt idx="6">
                  <c:v>538</c:v>
                </c:pt>
                <c:pt idx="7">
                  <c:v>554</c:v>
                </c:pt>
                <c:pt idx="8">
                  <c:v>533</c:v>
                </c:pt>
                <c:pt idx="9">
                  <c:v>360</c:v>
                </c:pt>
                <c:pt idx="10">
                  <c:v>394</c:v>
                </c:pt>
                <c:pt idx="11">
                  <c:v>367</c:v>
                </c:pt>
                <c:pt idx="12">
                  <c:v>366</c:v>
                </c:pt>
                <c:pt idx="13">
                  <c:v>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85-486A-B972-565A030292C6}"/>
            </c:ext>
          </c:extLst>
        </c:ser>
        <c:ser>
          <c:idx val="3"/>
          <c:order val="3"/>
          <c:tx>
            <c:strRef>
              <c:f>Sheet1!$C$120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Sheet1!$D$116:$Q$116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Sheet1!$D$120:$Q$120</c:f>
              <c:numCache>
                <c:formatCode>#,##0</c:formatCode>
                <c:ptCount val="14"/>
                <c:pt idx="0">
                  <c:v>14</c:v>
                </c:pt>
                <c:pt idx="1">
                  <c:v>18</c:v>
                </c:pt>
                <c:pt idx="2">
                  <c:v>13</c:v>
                </c:pt>
                <c:pt idx="3">
                  <c:v>28</c:v>
                </c:pt>
                <c:pt idx="4">
                  <c:v>32</c:v>
                </c:pt>
                <c:pt idx="5">
                  <c:v>34</c:v>
                </c:pt>
                <c:pt idx="6">
                  <c:v>43</c:v>
                </c:pt>
                <c:pt idx="7">
                  <c:v>49</c:v>
                </c:pt>
                <c:pt idx="8">
                  <c:v>114</c:v>
                </c:pt>
                <c:pt idx="9">
                  <c:v>75</c:v>
                </c:pt>
                <c:pt idx="10">
                  <c:v>150</c:v>
                </c:pt>
                <c:pt idx="11">
                  <c:v>181</c:v>
                </c:pt>
                <c:pt idx="12">
                  <c:v>120</c:v>
                </c:pt>
                <c:pt idx="1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85-486A-B972-565A03029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565983"/>
        <c:axId val="43568383"/>
      </c:barChart>
      <c:catAx>
        <c:axId val="4356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8383"/>
        <c:crosses val="autoZero"/>
        <c:auto val="1"/>
        <c:lblAlgn val="ctr"/>
        <c:lblOffset val="100"/>
        <c:noMultiLvlLbl val="0"/>
      </c:catAx>
      <c:valAx>
        <c:axId val="4356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Fatalities by Vulnerable</a:t>
            </a:r>
            <a:r>
              <a:rPr lang="en-US" baseline="0"/>
              <a:t> Road User Involvement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Sheet1!$C$133</c:f>
              <c:strCache>
                <c:ptCount val="1"/>
                <c:pt idx="0">
                  <c:v>Motorist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numRef>
              <c:f>Sheet1!$D$132:$Q$132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Sheet1!$D$133:$Q$133</c:f>
              <c:numCache>
                <c:formatCode>#,##0</c:formatCode>
                <c:ptCount val="14"/>
                <c:pt idx="0">
                  <c:v>13</c:v>
                </c:pt>
                <c:pt idx="1">
                  <c:v>14</c:v>
                </c:pt>
                <c:pt idx="2">
                  <c:v>10</c:v>
                </c:pt>
                <c:pt idx="3">
                  <c:v>11</c:v>
                </c:pt>
                <c:pt idx="4">
                  <c:v>9</c:v>
                </c:pt>
                <c:pt idx="5">
                  <c:v>14</c:v>
                </c:pt>
                <c:pt idx="6">
                  <c:v>7</c:v>
                </c:pt>
                <c:pt idx="7">
                  <c:v>7</c:v>
                </c:pt>
                <c:pt idx="8">
                  <c:v>19</c:v>
                </c:pt>
                <c:pt idx="9">
                  <c:v>15</c:v>
                </c:pt>
                <c:pt idx="10">
                  <c:v>17</c:v>
                </c:pt>
                <c:pt idx="11">
                  <c:v>20</c:v>
                </c:pt>
                <c:pt idx="12">
                  <c:v>15</c:v>
                </c:pt>
                <c:pt idx="1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7-4FAA-9E0C-02EAB52948B6}"/>
            </c:ext>
          </c:extLst>
        </c:ser>
        <c:ser>
          <c:idx val="1"/>
          <c:order val="1"/>
          <c:tx>
            <c:strRef>
              <c:f>Sheet1!$C$134</c:f>
              <c:strCache>
                <c:ptCount val="1"/>
                <c:pt idx="0">
                  <c:v>Pedestrian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Sheet1!$D$132:$Q$132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Sheet1!$D$134:$Q$134</c:f>
              <c:numCache>
                <c:formatCode>#,##0</c:formatCode>
                <c:ptCount val="14"/>
                <c:pt idx="0">
                  <c:v>17</c:v>
                </c:pt>
                <c:pt idx="1">
                  <c:v>16</c:v>
                </c:pt>
                <c:pt idx="2">
                  <c:v>21</c:v>
                </c:pt>
                <c:pt idx="3">
                  <c:v>18</c:v>
                </c:pt>
                <c:pt idx="4">
                  <c:v>23</c:v>
                </c:pt>
                <c:pt idx="5">
                  <c:v>18</c:v>
                </c:pt>
                <c:pt idx="6">
                  <c:v>15</c:v>
                </c:pt>
                <c:pt idx="7">
                  <c:v>16</c:v>
                </c:pt>
                <c:pt idx="8">
                  <c:v>19</c:v>
                </c:pt>
                <c:pt idx="9">
                  <c:v>13</c:v>
                </c:pt>
                <c:pt idx="10">
                  <c:v>15</c:v>
                </c:pt>
                <c:pt idx="11">
                  <c:v>18</c:v>
                </c:pt>
                <c:pt idx="12">
                  <c:v>20</c:v>
                </c:pt>
                <c:pt idx="1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A7-4FAA-9E0C-02EAB52948B6}"/>
            </c:ext>
          </c:extLst>
        </c:ser>
        <c:ser>
          <c:idx val="2"/>
          <c:order val="2"/>
          <c:tx>
            <c:strRef>
              <c:f>Sheet1!$C$135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Sheet1!$D$132:$Q$132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Sheet1!$D$135:$Q$135</c:f>
              <c:numCache>
                <c:formatCode>#,##0</c:formatCode>
                <c:ptCount val="14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A7-4FAA-9E0C-02EAB52948B6}"/>
            </c:ext>
          </c:extLst>
        </c:ser>
        <c:ser>
          <c:idx val="3"/>
          <c:order val="3"/>
          <c:tx>
            <c:strRef>
              <c:f>Sheet1!$C$136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Sheet1!$D$132:$Q$132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Sheet1!$D$136:$Q$136</c:f>
              <c:numCache>
                <c:formatCode>#,##0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A7-4FAA-9E0C-02EAB5294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565983"/>
        <c:axId val="43568383"/>
      </c:barChart>
      <c:catAx>
        <c:axId val="4356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8383"/>
        <c:crosses val="autoZero"/>
        <c:auto val="1"/>
        <c:lblAlgn val="ctr"/>
        <c:lblOffset val="100"/>
        <c:noMultiLvlLbl val="0"/>
      </c:catAx>
      <c:valAx>
        <c:axId val="4356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Injury Collisions involving</a:t>
            </a:r>
            <a:r>
              <a:rPr lang="en-US" baseline="0"/>
              <a:t> Vulnerable Road Users </a:t>
            </a:r>
            <a:r>
              <a:rPr lang="en-US"/>
              <a:t>by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Sheet1!$C$65</c:f>
              <c:strCache>
                <c:ptCount val="1"/>
                <c:pt idx="0">
                  <c:v>Non-Severe Injury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Sheet1!$D$57:$Q$57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Sheet1!$D$65:$Q$65</c:f>
              <c:numCache>
                <c:formatCode>#,##0</c:formatCode>
                <c:ptCount val="14"/>
                <c:pt idx="0">
                  <c:v>529</c:v>
                </c:pt>
                <c:pt idx="1">
                  <c:v>608</c:v>
                </c:pt>
                <c:pt idx="2">
                  <c:v>361</c:v>
                </c:pt>
                <c:pt idx="3">
                  <c:v>509</c:v>
                </c:pt>
                <c:pt idx="4">
                  <c:v>477</c:v>
                </c:pt>
                <c:pt idx="5">
                  <c:v>503</c:v>
                </c:pt>
                <c:pt idx="6">
                  <c:v>506</c:v>
                </c:pt>
                <c:pt idx="7">
                  <c:v>476</c:v>
                </c:pt>
                <c:pt idx="8">
                  <c:v>479</c:v>
                </c:pt>
                <c:pt idx="9">
                  <c:v>324</c:v>
                </c:pt>
                <c:pt idx="10">
                  <c:v>360</c:v>
                </c:pt>
                <c:pt idx="11">
                  <c:v>382</c:v>
                </c:pt>
                <c:pt idx="12">
                  <c:v>361</c:v>
                </c:pt>
                <c:pt idx="13">
                  <c:v>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7-4050-95C0-F1F25BE16909}"/>
            </c:ext>
          </c:extLst>
        </c:ser>
        <c:ser>
          <c:idx val="1"/>
          <c:order val="1"/>
          <c:tx>
            <c:strRef>
              <c:f>Sheet1!$C$66</c:f>
              <c:strCache>
                <c:ptCount val="1"/>
                <c:pt idx="0">
                  <c:v>Severe Injury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Sheet1!$D$57:$Q$57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Sheet1!$D$66:$Q$66</c:f>
              <c:numCache>
                <c:formatCode>#,##0</c:formatCode>
                <c:ptCount val="14"/>
                <c:pt idx="0">
                  <c:v>112</c:v>
                </c:pt>
                <c:pt idx="1">
                  <c:v>114</c:v>
                </c:pt>
                <c:pt idx="2">
                  <c:v>83</c:v>
                </c:pt>
                <c:pt idx="3">
                  <c:v>141</c:v>
                </c:pt>
                <c:pt idx="4">
                  <c:v>127</c:v>
                </c:pt>
                <c:pt idx="5">
                  <c:v>149</c:v>
                </c:pt>
                <c:pt idx="6">
                  <c:v>145</c:v>
                </c:pt>
                <c:pt idx="7">
                  <c:v>149</c:v>
                </c:pt>
                <c:pt idx="8">
                  <c:v>164</c:v>
                </c:pt>
                <c:pt idx="9">
                  <c:v>110</c:v>
                </c:pt>
                <c:pt idx="10">
                  <c:v>135</c:v>
                </c:pt>
                <c:pt idx="11">
                  <c:v>134</c:v>
                </c:pt>
                <c:pt idx="12">
                  <c:v>114</c:v>
                </c:pt>
                <c:pt idx="13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27-4050-95C0-F1F25BE16909}"/>
            </c:ext>
          </c:extLst>
        </c:ser>
        <c:ser>
          <c:idx val="2"/>
          <c:order val="2"/>
          <c:tx>
            <c:strRef>
              <c:f>Sheet1!$C$67</c:f>
              <c:strCache>
                <c:ptCount val="1"/>
                <c:pt idx="0">
                  <c:v>Fatal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Sheet1!$D$57:$Q$57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Sheet1!$D$67:$Q$67</c:f>
              <c:numCache>
                <c:formatCode>#,##0</c:formatCode>
                <c:ptCount val="14"/>
                <c:pt idx="0">
                  <c:v>20</c:v>
                </c:pt>
                <c:pt idx="1">
                  <c:v>17</c:v>
                </c:pt>
                <c:pt idx="2">
                  <c:v>25</c:v>
                </c:pt>
                <c:pt idx="3">
                  <c:v>20</c:v>
                </c:pt>
                <c:pt idx="4">
                  <c:v>28</c:v>
                </c:pt>
                <c:pt idx="5">
                  <c:v>22</c:v>
                </c:pt>
                <c:pt idx="6">
                  <c:v>17</c:v>
                </c:pt>
                <c:pt idx="7">
                  <c:v>20</c:v>
                </c:pt>
                <c:pt idx="8">
                  <c:v>20</c:v>
                </c:pt>
                <c:pt idx="9">
                  <c:v>14</c:v>
                </c:pt>
                <c:pt idx="10">
                  <c:v>16</c:v>
                </c:pt>
                <c:pt idx="11">
                  <c:v>19</c:v>
                </c:pt>
                <c:pt idx="12">
                  <c:v>21</c:v>
                </c:pt>
                <c:pt idx="1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27-4050-95C0-F1F25BE16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565983"/>
        <c:axId val="43568383"/>
      </c:barChart>
      <c:catAx>
        <c:axId val="4356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8383"/>
        <c:crosses val="autoZero"/>
        <c:auto val="1"/>
        <c:lblAlgn val="ctr"/>
        <c:lblOffset val="100"/>
        <c:noMultiLvlLbl val="0"/>
      </c:catAx>
      <c:valAx>
        <c:axId val="4356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Injuries by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Sheet1!$C$157</c:f>
              <c:strCache>
                <c:ptCount val="1"/>
                <c:pt idx="0">
                  <c:v>Non-Severe Injury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Sheet1!$D$156:$Q$156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Sheet1!$D$157:$Q$157</c:f>
              <c:numCache>
                <c:formatCode>#,##0</c:formatCode>
                <c:ptCount val="14"/>
                <c:pt idx="0">
                  <c:v>4394</c:v>
                </c:pt>
                <c:pt idx="1">
                  <c:v>4443</c:v>
                </c:pt>
                <c:pt idx="2">
                  <c:v>3098</c:v>
                </c:pt>
                <c:pt idx="3">
                  <c:v>4458</c:v>
                </c:pt>
                <c:pt idx="4">
                  <c:v>4067</c:v>
                </c:pt>
                <c:pt idx="5">
                  <c:v>4708</c:v>
                </c:pt>
                <c:pt idx="6">
                  <c:v>4783</c:v>
                </c:pt>
                <c:pt idx="7">
                  <c:v>4617</c:v>
                </c:pt>
                <c:pt idx="8">
                  <c:v>4746</c:v>
                </c:pt>
                <c:pt idx="9">
                  <c:v>3158</c:v>
                </c:pt>
                <c:pt idx="10">
                  <c:v>3952</c:v>
                </c:pt>
                <c:pt idx="11">
                  <c:v>4050</c:v>
                </c:pt>
                <c:pt idx="12">
                  <c:v>4008</c:v>
                </c:pt>
                <c:pt idx="13">
                  <c:v>3940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B-45B9-9202-94285B15737A}"/>
            </c:ext>
          </c:extLst>
        </c:ser>
        <c:ser>
          <c:idx val="1"/>
          <c:order val="1"/>
          <c:tx>
            <c:strRef>
              <c:f>Sheet1!$C$158</c:f>
              <c:strCache>
                <c:ptCount val="1"/>
                <c:pt idx="0">
                  <c:v>Severe Injury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Sheet1!$D$156:$Q$156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Sheet1!$D$158:$Q$158</c:f>
              <c:numCache>
                <c:formatCode>#,##0</c:formatCode>
                <c:ptCount val="14"/>
                <c:pt idx="0">
                  <c:v>216</c:v>
                </c:pt>
                <c:pt idx="1">
                  <c:v>219</c:v>
                </c:pt>
                <c:pt idx="2">
                  <c:v>144</c:v>
                </c:pt>
                <c:pt idx="3">
                  <c:v>244</c:v>
                </c:pt>
                <c:pt idx="4">
                  <c:v>232</c:v>
                </c:pt>
                <c:pt idx="5">
                  <c:v>284</c:v>
                </c:pt>
                <c:pt idx="6">
                  <c:v>276</c:v>
                </c:pt>
                <c:pt idx="7">
                  <c:v>255</c:v>
                </c:pt>
                <c:pt idx="8">
                  <c:v>252</c:v>
                </c:pt>
                <c:pt idx="9">
                  <c:v>169</c:v>
                </c:pt>
                <c:pt idx="10">
                  <c:v>246</c:v>
                </c:pt>
                <c:pt idx="11">
                  <c:v>262</c:v>
                </c:pt>
                <c:pt idx="12">
                  <c:v>215</c:v>
                </c:pt>
                <c:pt idx="13">
                  <c:v>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9B-45B9-9202-94285B15737A}"/>
            </c:ext>
          </c:extLst>
        </c:ser>
        <c:ser>
          <c:idx val="2"/>
          <c:order val="2"/>
          <c:tx>
            <c:strRef>
              <c:f>Sheet1!$C$159</c:f>
              <c:strCache>
                <c:ptCount val="1"/>
                <c:pt idx="0">
                  <c:v>Fatal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Sheet1!$D$156:$Q$156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Sheet1!$D$159:$Q$159</c:f>
              <c:numCache>
                <c:formatCode>#,##0</c:formatCode>
                <c:ptCount val="14"/>
                <c:pt idx="0">
                  <c:v>33</c:v>
                </c:pt>
                <c:pt idx="1">
                  <c:v>31</c:v>
                </c:pt>
                <c:pt idx="2">
                  <c:v>35</c:v>
                </c:pt>
                <c:pt idx="3">
                  <c:v>31</c:v>
                </c:pt>
                <c:pt idx="4">
                  <c:v>36</c:v>
                </c:pt>
                <c:pt idx="5">
                  <c:v>36</c:v>
                </c:pt>
                <c:pt idx="6">
                  <c:v>24</c:v>
                </c:pt>
                <c:pt idx="7">
                  <c:v>27</c:v>
                </c:pt>
                <c:pt idx="8">
                  <c:v>39</c:v>
                </c:pt>
                <c:pt idx="9">
                  <c:v>32</c:v>
                </c:pt>
                <c:pt idx="10">
                  <c:v>34</c:v>
                </c:pt>
                <c:pt idx="11">
                  <c:v>43</c:v>
                </c:pt>
                <c:pt idx="12">
                  <c:v>37</c:v>
                </c:pt>
                <c:pt idx="13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9B-45B9-9202-94285B157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565983"/>
        <c:axId val="43568383"/>
      </c:barChart>
      <c:catAx>
        <c:axId val="4356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8383"/>
        <c:crosses val="autoZero"/>
        <c:auto val="1"/>
        <c:lblAlgn val="ctr"/>
        <c:lblOffset val="100"/>
        <c:noMultiLvlLbl val="0"/>
      </c:catAx>
      <c:valAx>
        <c:axId val="4356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Bicyclist and Pedestrian Injuries by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Sheet1!$C$164</c:f>
              <c:strCache>
                <c:ptCount val="1"/>
                <c:pt idx="0">
                  <c:v>Non-Severe Injury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Sheet1!$D$163:$Q$163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Sheet1!$D$164:$Q$164</c:f>
              <c:numCache>
                <c:formatCode>#,##0</c:formatCode>
                <c:ptCount val="14"/>
                <c:pt idx="0">
                  <c:v>1350</c:v>
                </c:pt>
                <c:pt idx="1">
                  <c:v>1494</c:v>
                </c:pt>
                <c:pt idx="2">
                  <c:v>896</c:v>
                </c:pt>
                <c:pt idx="3">
                  <c:v>1379</c:v>
                </c:pt>
                <c:pt idx="4">
                  <c:v>1210</c:v>
                </c:pt>
                <c:pt idx="5">
                  <c:v>1305</c:v>
                </c:pt>
                <c:pt idx="6">
                  <c:v>1289</c:v>
                </c:pt>
                <c:pt idx="7">
                  <c:v>1285</c:v>
                </c:pt>
                <c:pt idx="8">
                  <c:v>1330</c:v>
                </c:pt>
                <c:pt idx="9">
                  <c:v>843</c:v>
                </c:pt>
                <c:pt idx="10">
                  <c:v>970</c:v>
                </c:pt>
                <c:pt idx="11">
                  <c:v>979</c:v>
                </c:pt>
                <c:pt idx="12">
                  <c:v>972</c:v>
                </c:pt>
                <c:pt idx="13">
                  <c:v>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A-452F-9E1A-A39E8CD6A0FA}"/>
            </c:ext>
          </c:extLst>
        </c:ser>
        <c:ser>
          <c:idx val="1"/>
          <c:order val="1"/>
          <c:tx>
            <c:strRef>
              <c:f>Sheet1!$C$165</c:f>
              <c:strCache>
                <c:ptCount val="1"/>
                <c:pt idx="0">
                  <c:v>Severe Injury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Sheet1!$D$163:$Q$163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Sheet1!$D$165:$Q$165</c:f>
              <c:numCache>
                <c:formatCode>#,##0</c:formatCode>
                <c:ptCount val="14"/>
                <c:pt idx="0">
                  <c:v>118</c:v>
                </c:pt>
                <c:pt idx="1">
                  <c:v>117</c:v>
                </c:pt>
                <c:pt idx="2">
                  <c:v>84</c:v>
                </c:pt>
                <c:pt idx="3">
                  <c:v>143</c:v>
                </c:pt>
                <c:pt idx="4">
                  <c:v>132</c:v>
                </c:pt>
                <c:pt idx="5">
                  <c:v>152</c:v>
                </c:pt>
                <c:pt idx="6">
                  <c:v>149</c:v>
                </c:pt>
                <c:pt idx="7">
                  <c:v>150</c:v>
                </c:pt>
                <c:pt idx="8">
                  <c:v>147</c:v>
                </c:pt>
                <c:pt idx="9">
                  <c:v>98</c:v>
                </c:pt>
                <c:pt idx="10">
                  <c:v>138</c:v>
                </c:pt>
                <c:pt idx="11">
                  <c:v>150</c:v>
                </c:pt>
                <c:pt idx="12">
                  <c:v>120</c:v>
                </c:pt>
                <c:pt idx="1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6A-452F-9E1A-A39E8CD6A0FA}"/>
            </c:ext>
          </c:extLst>
        </c:ser>
        <c:ser>
          <c:idx val="2"/>
          <c:order val="2"/>
          <c:tx>
            <c:strRef>
              <c:f>Sheet1!$C$166</c:f>
              <c:strCache>
                <c:ptCount val="1"/>
                <c:pt idx="0">
                  <c:v>Fatal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Sheet1!$D$163:$Q$163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Sheet1!$D$166:$Q$166</c:f>
              <c:numCache>
                <c:formatCode>#,##0</c:formatCode>
                <c:ptCount val="14"/>
                <c:pt idx="0">
                  <c:v>20</c:v>
                </c:pt>
                <c:pt idx="1">
                  <c:v>17</c:v>
                </c:pt>
                <c:pt idx="2">
                  <c:v>25</c:v>
                </c:pt>
                <c:pt idx="3">
                  <c:v>20</c:v>
                </c:pt>
                <c:pt idx="4">
                  <c:v>27</c:v>
                </c:pt>
                <c:pt idx="5">
                  <c:v>22</c:v>
                </c:pt>
                <c:pt idx="6">
                  <c:v>17</c:v>
                </c:pt>
                <c:pt idx="7">
                  <c:v>20</c:v>
                </c:pt>
                <c:pt idx="8">
                  <c:v>20</c:v>
                </c:pt>
                <c:pt idx="9">
                  <c:v>17</c:v>
                </c:pt>
                <c:pt idx="10">
                  <c:v>17</c:v>
                </c:pt>
                <c:pt idx="11">
                  <c:v>23</c:v>
                </c:pt>
                <c:pt idx="12">
                  <c:v>22</c:v>
                </c:pt>
                <c:pt idx="1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6A-452F-9E1A-A39E8CD6A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565983"/>
        <c:axId val="43568383"/>
      </c:barChart>
      <c:catAx>
        <c:axId val="4356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8383"/>
        <c:crosses val="autoZero"/>
        <c:auto val="1"/>
        <c:lblAlgn val="ctr"/>
        <c:lblOffset val="100"/>
        <c:noMultiLvlLbl val="0"/>
      </c:catAx>
      <c:valAx>
        <c:axId val="4356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40</xdr:row>
      <xdr:rowOff>0</xdr:rowOff>
    </xdr:from>
    <xdr:to>
      <xdr:col>3</xdr:col>
      <xdr:colOff>576263</xdr:colOff>
      <xdr:row>54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DDE8037-D432-458D-A415-0FE6784D37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</xdr:row>
      <xdr:rowOff>0</xdr:rowOff>
    </xdr:from>
    <xdr:to>
      <xdr:col>13</xdr:col>
      <xdr:colOff>233363</xdr:colOff>
      <xdr:row>15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1335D6-32F4-4F20-8452-A65B99565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3</xdr:col>
      <xdr:colOff>576263</xdr:colOff>
      <xdr:row>15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B99FA43-0E36-48F1-9373-A8B4534146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22</xdr:col>
      <xdr:colOff>233363</xdr:colOff>
      <xdr:row>15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E44316E-E964-42AF-A81A-89ADC04B5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97</xdr:row>
      <xdr:rowOff>0</xdr:rowOff>
    </xdr:from>
    <xdr:to>
      <xdr:col>13</xdr:col>
      <xdr:colOff>233363</xdr:colOff>
      <xdr:row>111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22257FE-7B4B-4F58-B902-50305EE0F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97</xdr:row>
      <xdr:rowOff>0</xdr:rowOff>
    </xdr:from>
    <xdr:to>
      <xdr:col>3</xdr:col>
      <xdr:colOff>576263</xdr:colOff>
      <xdr:row>111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8D8886B-D57D-4095-81EF-5F2D9E564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97</xdr:row>
      <xdr:rowOff>0</xdr:rowOff>
    </xdr:from>
    <xdr:to>
      <xdr:col>22</xdr:col>
      <xdr:colOff>233363</xdr:colOff>
      <xdr:row>111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470D2D8-35EA-4A08-B3DC-A6EFE922B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40</xdr:row>
      <xdr:rowOff>0</xdr:rowOff>
    </xdr:from>
    <xdr:to>
      <xdr:col>13</xdr:col>
      <xdr:colOff>233363</xdr:colOff>
      <xdr:row>54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18D4EB3-24D2-45CC-8297-50AD83E77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138</xdr:row>
      <xdr:rowOff>0</xdr:rowOff>
    </xdr:from>
    <xdr:to>
      <xdr:col>3</xdr:col>
      <xdr:colOff>576263</xdr:colOff>
      <xdr:row>152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89A6C67-18F7-45D0-8F4D-4366470554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138</xdr:row>
      <xdr:rowOff>0</xdr:rowOff>
    </xdr:from>
    <xdr:to>
      <xdr:col>13</xdr:col>
      <xdr:colOff>233363</xdr:colOff>
      <xdr:row>152</xdr:row>
      <xdr:rowOff>76200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D14A2BD-61AA-4CBF-9AAC-97CD3E56FD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SFCTA Secondary">
      <a:dk1>
        <a:sysClr val="windowText" lastClr="000000"/>
      </a:dk1>
      <a:lt1>
        <a:sysClr val="window" lastClr="FFFFFF"/>
      </a:lt1>
      <a:dk2>
        <a:srgbClr val="006C69"/>
      </a:dk2>
      <a:lt2>
        <a:srgbClr val="8CB8CA"/>
      </a:lt2>
      <a:accent1>
        <a:srgbClr val="FF8D6D"/>
      </a:accent1>
      <a:accent2>
        <a:srgbClr val="EBA65E"/>
      </a:accent2>
      <a:accent3>
        <a:srgbClr val="F6CF3F"/>
      </a:accent3>
      <a:accent4>
        <a:srgbClr val="D4D756"/>
      </a:accent4>
      <a:accent5>
        <a:srgbClr val="9BAE89"/>
      </a:accent5>
      <a:accent6>
        <a:srgbClr val="CD7F9E"/>
      </a:accent6>
      <a:hlink>
        <a:srgbClr val="006298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7:Q190"/>
  <sheetViews>
    <sheetView tabSelected="1" workbookViewId="0">
      <selection activeCell="B23" sqref="B23"/>
    </sheetView>
  </sheetViews>
  <sheetFormatPr defaultRowHeight="15" x14ac:dyDescent="0.25"/>
  <cols>
    <col min="2" max="2" width="49.140625" bestFit="1" customWidth="1"/>
    <col min="3" max="3" width="18.85546875" bestFit="1" customWidth="1"/>
  </cols>
  <sheetData>
    <row r="17" spans="3:17" x14ac:dyDescent="0.25">
      <c r="C17" s="2" t="s">
        <v>21</v>
      </c>
    </row>
    <row r="18" spans="3:17" x14ac:dyDescent="0.25">
      <c r="D18" s="7">
        <v>2011</v>
      </c>
      <c r="E18" s="7">
        <v>2012</v>
      </c>
      <c r="F18" s="7">
        <v>2013</v>
      </c>
      <c r="G18" s="7">
        <v>2014</v>
      </c>
      <c r="H18" s="7">
        <v>2015</v>
      </c>
      <c r="I18" s="7">
        <v>2016</v>
      </c>
      <c r="J18" s="7">
        <v>2017</v>
      </c>
      <c r="K18" s="7">
        <v>2018</v>
      </c>
      <c r="L18" s="7">
        <v>2019</v>
      </c>
      <c r="M18" s="7">
        <v>2020</v>
      </c>
      <c r="N18" s="7">
        <v>2021</v>
      </c>
      <c r="O18" s="7">
        <v>2022</v>
      </c>
      <c r="P18" s="7">
        <v>2023</v>
      </c>
      <c r="Q18" s="7" t="s">
        <v>20</v>
      </c>
    </row>
    <row r="19" spans="3:17" x14ac:dyDescent="0.25">
      <c r="C19" s="1" t="s">
        <v>4</v>
      </c>
      <c r="D19" s="3">
        <f>D77+D82+D87</f>
        <v>609</v>
      </c>
      <c r="E19" s="3">
        <f t="shared" ref="E19:Q19" si="0">E77+E82+E87</f>
        <v>569</v>
      </c>
      <c r="F19" s="3">
        <f t="shared" si="0"/>
        <v>401</v>
      </c>
      <c r="G19" s="3">
        <f t="shared" si="0"/>
        <v>556</v>
      </c>
      <c r="H19" s="3">
        <f t="shared" si="0"/>
        <v>558</v>
      </c>
      <c r="I19" s="3">
        <f t="shared" si="0"/>
        <v>680</v>
      </c>
      <c r="J19" s="3">
        <f t="shared" si="0"/>
        <v>706</v>
      </c>
      <c r="K19" s="3">
        <f t="shared" si="0"/>
        <v>652</v>
      </c>
      <c r="L19" s="3">
        <f t="shared" si="0"/>
        <v>730</v>
      </c>
      <c r="M19" s="3">
        <f t="shared" si="0"/>
        <v>568</v>
      </c>
      <c r="N19" s="3">
        <f t="shared" si="0"/>
        <v>768</v>
      </c>
      <c r="O19" s="3">
        <f t="shared" si="0"/>
        <v>782</v>
      </c>
      <c r="P19" s="3">
        <f t="shared" si="0"/>
        <v>712</v>
      </c>
      <c r="Q19" s="3">
        <f t="shared" si="0"/>
        <v>682</v>
      </c>
    </row>
    <row r="20" spans="3:17" x14ac:dyDescent="0.25">
      <c r="C20" s="1" t="s">
        <v>5</v>
      </c>
      <c r="D20" s="3">
        <f t="shared" ref="D20:Q22" si="1">D78+D83+D88</f>
        <v>328</v>
      </c>
      <c r="E20" s="3">
        <f t="shared" si="1"/>
        <v>388</v>
      </c>
      <c r="F20" s="3">
        <f t="shared" si="1"/>
        <v>225</v>
      </c>
      <c r="G20" s="3">
        <f t="shared" si="1"/>
        <v>334</v>
      </c>
      <c r="H20" s="3">
        <f t="shared" si="1"/>
        <v>332</v>
      </c>
      <c r="I20" s="3">
        <f t="shared" si="1"/>
        <v>376</v>
      </c>
      <c r="J20" s="3">
        <f t="shared" si="1"/>
        <v>365</v>
      </c>
      <c r="K20" s="3">
        <f t="shared" si="1"/>
        <v>337</v>
      </c>
      <c r="L20" s="3">
        <f t="shared" si="1"/>
        <v>368</v>
      </c>
      <c r="M20" s="3">
        <f t="shared" si="1"/>
        <v>243</v>
      </c>
      <c r="N20" s="3">
        <f t="shared" si="1"/>
        <v>276</v>
      </c>
      <c r="O20" s="3">
        <f t="shared" si="1"/>
        <v>298</v>
      </c>
      <c r="P20" s="3">
        <f t="shared" si="1"/>
        <v>290</v>
      </c>
      <c r="Q20" s="3">
        <f t="shared" si="1"/>
        <v>328</v>
      </c>
    </row>
    <row r="21" spans="3:17" x14ac:dyDescent="0.25">
      <c r="C21" s="1" t="s">
        <v>6</v>
      </c>
      <c r="D21" s="3">
        <f t="shared" si="1"/>
        <v>317</v>
      </c>
      <c r="E21" s="3">
        <f t="shared" si="1"/>
        <v>324</v>
      </c>
      <c r="F21" s="3">
        <f t="shared" si="1"/>
        <v>227</v>
      </c>
      <c r="G21" s="3">
        <f t="shared" si="1"/>
        <v>319</v>
      </c>
      <c r="H21" s="3">
        <f t="shared" si="1"/>
        <v>287</v>
      </c>
      <c r="I21" s="3">
        <f t="shared" si="1"/>
        <v>288</v>
      </c>
      <c r="J21" s="3">
        <f t="shared" si="1"/>
        <v>282</v>
      </c>
      <c r="K21" s="3">
        <f t="shared" si="1"/>
        <v>290</v>
      </c>
      <c r="L21" s="3">
        <f t="shared" si="1"/>
        <v>280</v>
      </c>
      <c r="M21" s="3">
        <f t="shared" si="1"/>
        <v>191</v>
      </c>
      <c r="N21" s="3">
        <f t="shared" si="1"/>
        <v>222</v>
      </c>
      <c r="O21" s="3">
        <f t="shared" si="1"/>
        <v>220</v>
      </c>
      <c r="P21" s="3">
        <f t="shared" si="1"/>
        <v>194</v>
      </c>
      <c r="Q21" s="3">
        <f t="shared" si="1"/>
        <v>227</v>
      </c>
    </row>
    <row r="22" spans="3:17" x14ac:dyDescent="0.25">
      <c r="C22" s="1" t="s">
        <v>7</v>
      </c>
      <c r="D22" s="3">
        <f t="shared" si="1"/>
        <v>16</v>
      </c>
      <c r="E22" s="3">
        <f t="shared" si="1"/>
        <v>27</v>
      </c>
      <c r="F22" s="3">
        <f t="shared" si="1"/>
        <v>17</v>
      </c>
      <c r="G22" s="3">
        <f t="shared" si="1"/>
        <v>17</v>
      </c>
      <c r="H22" s="3">
        <f t="shared" si="1"/>
        <v>13</v>
      </c>
      <c r="I22" s="3">
        <f t="shared" si="1"/>
        <v>10</v>
      </c>
      <c r="J22" s="3">
        <f t="shared" si="1"/>
        <v>21</v>
      </c>
      <c r="K22" s="3">
        <f t="shared" si="1"/>
        <v>18</v>
      </c>
      <c r="L22" s="3">
        <f t="shared" si="1"/>
        <v>15</v>
      </c>
      <c r="M22" s="3">
        <f t="shared" si="1"/>
        <v>14</v>
      </c>
      <c r="N22" s="3">
        <f t="shared" si="1"/>
        <v>13</v>
      </c>
      <c r="O22" s="3">
        <f t="shared" si="1"/>
        <v>17</v>
      </c>
      <c r="P22" s="3">
        <f t="shared" si="1"/>
        <v>12</v>
      </c>
      <c r="Q22" s="3">
        <f t="shared" si="1"/>
        <v>17</v>
      </c>
    </row>
    <row r="23" spans="3:17" x14ac:dyDescent="0.25">
      <c r="C23" s="1" t="s">
        <v>8</v>
      </c>
      <c r="D23" s="3">
        <f>SUM(D19:D22)</f>
        <v>1270</v>
      </c>
      <c r="E23" s="3">
        <f t="shared" ref="E23:Q23" si="2">SUM(E19:E22)</f>
        <v>1308</v>
      </c>
      <c r="F23" s="3">
        <f t="shared" si="2"/>
        <v>870</v>
      </c>
      <c r="G23" s="3">
        <f t="shared" si="2"/>
        <v>1226</v>
      </c>
      <c r="H23" s="3">
        <f t="shared" si="2"/>
        <v>1190</v>
      </c>
      <c r="I23" s="3">
        <f t="shared" si="2"/>
        <v>1354</v>
      </c>
      <c r="J23" s="3">
        <f t="shared" si="2"/>
        <v>1374</v>
      </c>
      <c r="K23" s="3">
        <f t="shared" si="2"/>
        <v>1297</v>
      </c>
      <c r="L23" s="3">
        <f t="shared" si="2"/>
        <v>1393</v>
      </c>
      <c r="M23" s="3">
        <f t="shared" si="2"/>
        <v>1016</v>
      </c>
      <c r="N23" s="3">
        <f t="shared" si="2"/>
        <v>1279</v>
      </c>
      <c r="O23" s="3">
        <f t="shared" si="2"/>
        <v>1317</v>
      </c>
      <c r="P23" s="3">
        <f t="shared" si="2"/>
        <v>1208</v>
      </c>
      <c r="Q23" s="3">
        <f t="shared" si="2"/>
        <v>1254</v>
      </c>
    </row>
    <row r="24" spans="3:17" x14ac:dyDescent="0.25"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3:17" x14ac:dyDescent="0.25">
      <c r="C25" s="2" t="s">
        <v>17</v>
      </c>
    </row>
    <row r="26" spans="3:17" x14ac:dyDescent="0.25">
      <c r="D26" s="7">
        <v>2011</v>
      </c>
      <c r="E26" s="7">
        <v>2012</v>
      </c>
      <c r="F26" s="7">
        <v>2013</v>
      </c>
      <c r="G26" s="7">
        <v>2014</v>
      </c>
      <c r="H26" s="7">
        <v>2015</v>
      </c>
      <c r="I26" s="7">
        <v>2016</v>
      </c>
      <c r="J26" s="7">
        <v>2017</v>
      </c>
      <c r="K26" s="7">
        <v>2018</v>
      </c>
      <c r="L26" s="7">
        <v>2019</v>
      </c>
      <c r="M26" s="7">
        <v>2020</v>
      </c>
      <c r="N26" s="7">
        <v>2021</v>
      </c>
      <c r="O26" s="7">
        <v>2022</v>
      </c>
      <c r="P26" s="7">
        <v>2023</v>
      </c>
      <c r="Q26" s="7" t="s">
        <v>20</v>
      </c>
    </row>
    <row r="27" spans="3:17" x14ac:dyDescent="0.25">
      <c r="C27" s="1" t="s">
        <v>4</v>
      </c>
      <c r="D27" s="3">
        <f>D77+D82</f>
        <v>596</v>
      </c>
      <c r="E27" s="3">
        <f t="shared" ref="E27:Q27" si="3">E77+E82</f>
        <v>555</v>
      </c>
      <c r="F27" s="3">
        <f t="shared" si="3"/>
        <v>392</v>
      </c>
      <c r="G27" s="3">
        <f t="shared" si="3"/>
        <v>546</v>
      </c>
      <c r="H27" s="3">
        <f t="shared" si="3"/>
        <v>550</v>
      </c>
      <c r="I27" s="3">
        <f t="shared" si="3"/>
        <v>668</v>
      </c>
      <c r="J27" s="3">
        <f t="shared" si="3"/>
        <v>699</v>
      </c>
      <c r="K27" s="3">
        <f t="shared" si="3"/>
        <v>645</v>
      </c>
      <c r="L27" s="3">
        <f t="shared" si="3"/>
        <v>716</v>
      </c>
      <c r="M27" s="3">
        <f t="shared" si="3"/>
        <v>552</v>
      </c>
      <c r="N27" s="3">
        <f t="shared" si="3"/>
        <v>751</v>
      </c>
      <c r="O27" s="3">
        <f t="shared" si="3"/>
        <v>759</v>
      </c>
      <c r="P27" s="3">
        <f t="shared" si="3"/>
        <v>697</v>
      </c>
      <c r="Q27" s="3">
        <f t="shared" si="3"/>
        <v>666</v>
      </c>
    </row>
    <row r="28" spans="3:17" x14ac:dyDescent="0.25">
      <c r="C28" s="1" t="s">
        <v>5</v>
      </c>
      <c r="D28" s="3">
        <f t="shared" ref="D28:Q30" si="4">D78+D83</f>
        <v>312</v>
      </c>
      <c r="E28" s="3">
        <f t="shared" si="4"/>
        <v>373</v>
      </c>
      <c r="F28" s="3">
        <f t="shared" si="4"/>
        <v>204</v>
      </c>
      <c r="G28" s="3">
        <f t="shared" si="4"/>
        <v>316</v>
      </c>
      <c r="H28" s="3">
        <f t="shared" si="4"/>
        <v>308</v>
      </c>
      <c r="I28" s="3">
        <f t="shared" si="4"/>
        <v>358</v>
      </c>
      <c r="J28" s="3">
        <f t="shared" si="4"/>
        <v>350</v>
      </c>
      <c r="K28" s="3">
        <f t="shared" si="4"/>
        <v>321</v>
      </c>
      <c r="L28" s="3">
        <f t="shared" si="4"/>
        <v>349</v>
      </c>
      <c r="M28" s="3">
        <f t="shared" si="4"/>
        <v>231</v>
      </c>
      <c r="N28" s="3">
        <f t="shared" si="4"/>
        <v>261</v>
      </c>
      <c r="O28" s="3">
        <f t="shared" si="4"/>
        <v>281</v>
      </c>
      <c r="P28" s="3">
        <f t="shared" si="4"/>
        <v>270</v>
      </c>
      <c r="Q28" s="3">
        <f t="shared" si="4"/>
        <v>305</v>
      </c>
    </row>
    <row r="29" spans="3:17" x14ac:dyDescent="0.25">
      <c r="C29" s="1" t="s">
        <v>6</v>
      </c>
      <c r="D29" s="3">
        <f t="shared" si="4"/>
        <v>315</v>
      </c>
      <c r="E29" s="3">
        <f t="shared" si="4"/>
        <v>323</v>
      </c>
      <c r="F29" s="3">
        <f t="shared" si="4"/>
        <v>223</v>
      </c>
      <c r="G29" s="3">
        <f t="shared" si="4"/>
        <v>317</v>
      </c>
      <c r="H29" s="3">
        <f t="shared" si="4"/>
        <v>283</v>
      </c>
      <c r="I29" s="3">
        <f t="shared" si="4"/>
        <v>284</v>
      </c>
      <c r="J29" s="3">
        <f t="shared" si="4"/>
        <v>280</v>
      </c>
      <c r="K29" s="3">
        <f t="shared" si="4"/>
        <v>286</v>
      </c>
      <c r="L29" s="3">
        <f t="shared" si="4"/>
        <v>279</v>
      </c>
      <c r="M29" s="3">
        <f t="shared" si="4"/>
        <v>190</v>
      </c>
      <c r="N29" s="3">
        <f t="shared" si="4"/>
        <v>221</v>
      </c>
      <c r="O29" s="3">
        <f t="shared" si="4"/>
        <v>218</v>
      </c>
      <c r="P29" s="3">
        <f t="shared" si="4"/>
        <v>193</v>
      </c>
      <c r="Q29" s="3">
        <f t="shared" si="4"/>
        <v>224</v>
      </c>
    </row>
    <row r="30" spans="3:17" x14ac:dyDescent="0.25">
      <c r="C30" s="1" t="s">
        <v>7</v>
      </c>
      <c r="D30" s="3">
        <f t="shared" si="4"/>
        <v>14</v>
      </c>
      <c r="E30" s="3">
        <f t="shared" si="4"/>
        <v>26</v>
      </c>
      <c r="F30" s="3">
        <f t="shared" si="4"/>
        <v>17</v>
      </c>
      <c r="G30" s="3">
        <f t="shared" si="4"/>
        <v>17</v>
      </c>
      <c r="H30" s="3">
        <f t="shared" si="4"/>
        <v>13</v>
      </c>
      <c r="I30" s="3">
        <f t="shared" si="4"/>
        <v>10</v>
      </c>
      <c r="J30" s="3">
        <f t="shared" si="4"/>
        <v>21</v>
      </c>
      <c r="K30" s="3">
        <f t="shared" si="4"/>
        <v>18</v>
      </c>
      <c r="L30" s="3">
        <f t="shared" si="4"/>
        <v>15</v>
      </c>
      <c r="M30" s="3">
        <f t="shared" si="4"/>
        <v>13</v>
      </c>
      <c r="N30" s="3">
        <f t="shared" si="4"/>
        <v>13</v>
      </c>
      <c r="O30" s="3">
        <f t="shared" si="4"/>
        <v>17</v>
      </c>
      <c r="P30" s="3">
        <f t="shared" si="4"/>
        <v>12</v>
      </c>
      <c r="Q30" s="3">
        <f t="shared" si="4"/>
        <v>17</v>
      </c>
    </row>
    <row r="31" spans="3:17" x14ac:dyDescent="0.25">
      <c r="C31" s="1" t="s">
        <v>8</v>
      </c>
      <c r="D31" s="3">
        <f>SUM(D27:D30)</f>
        <v>1237</v>
      </c>
      <c r="E31" s="3">
        <f t="shared" ref="E31" si="5">SUM(E27:E30)</f>
        <v>1277</v>
      </c>
      <c r="F31" s="3">
        <f t="shared" ref="F31" si="6">SUM(F27:F30)</f>
        <v>836</v>
      </c>
      <c r="G31" s="3">
        <f t="shared" ref="G31" si="7">SUM(G27:G30)</f>
        <v>1196</v>
      </c>
      <c r="H31" s="3">
        <f t="shared" ref="H31" si="8">SUM(H27:H30)</f>
        <v>1154</v>
      </c>
      <c r="I31" s="3">
        <f t="shared" ref="I31" si="9">SUM(I27:I30)</f>
        <v>1320</v>
      </c>
      <c r="J31" s="3">
        <f t="shared" ref="J31" si="10">SUM(J27:J30)</f>
        <v>1350</v>
      </c>
      <c r="K31" s="3">
        <f t="shared" ref="K31" si="11">SUM(K27:K30)</f>
        <v>1270</v>
      </c>
      <c r="L31" s="3">
        <f t="shared" ref="L31" si="12">SUM(L27:L30)</f>
        <v>1359</v>
      </c>
      <c r="M31" s="3">
        <f t="shared" ref="M31" si="13">SUM(M27:M30)</f>
        <v>986</v>
      </c>
      <c r="N31" s="3">
        <f t="shared" ref="N31" si="14">SUM(N27:N30)</f>
        <v>1246</v>
      </c>
      <c r="O31" s="3">
        <f t="shared" ref="O31" si="15">SUM(O27:O30)</f>
        <v>1275</v>
      </c>
      <c r="P31" s="3">
        <f t="shared" ref="P31" si="16">SUM(P27:P30)</f>
        <v>1172</v>
      </c>
      <c r="Q31" s="3">
        <f t="shared" ref="Q31" si="17">SUM(Q27:Q30)</f>
        <v>1212</v>
      </c>
    </row>
    <row r="32" spans="3:17" x14ac:dyDescent="0.25">
      <c r="C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3:17" x14ac:dyDescent="0.25">
      <c r="C33" s="2" t="s">
        <v>22</v>
      </c>
    </row>
    <row r="34" spans="3:17" x14ac:dyDescent="0.25">
      <c r="D34" s="7">
        <v>2011</v>
      </c>
      <c r="E34" s="7">
        <v>2012</v>
      </c>
      <c r="F34" s="7">
        <v>2013</v>
      </c>
      <c r="G34" s="7">
        <v>2014</v>
      </c>
      <c r="H34" s="7">
        <v>2015</v>
      </c>
      <c r="I34" s="7">
        <v>2016</v>
      </c>
      <c r="J34" s="7">
        <v>2017</v>
      </c>
      <c r="K34" s="7">
        <v>2018</v>
      </c>
      <c r="L34" s="7">
        <v>2019</v>
      </c>
      <c r="M34" s="7">
        <v>2020</v>
      </c>
      <c r="N34" s="7">
        <v>2021</v>
      </c>
      <c r="O34" s="7">
        <v>2022</v>
      </c>
      <c r="P34" s="7">
        <v>2023</v>
      </c>
      <c r="Q34" s="7" t="s">
        <v>20</v>
      </c>
    </row>
    <row r="35" spans="3:17" x14ac:dyDescent="0.25">
      <c r="C35" s="1" t="s">
        <v>4</v>
      </c>
      <c r="D35" s="3">
        <f>D87</f>
        <v>13</v>
      </c>
      <c r="E35" s="3">
        <f t="shared" ref="E35:Q35" si="18">E87</f>
        <v>14</v>
      </c>
      <c r="F35" s="3">
        <f t="shared" si="18"/>
        <v>9</v>
      </c>
      <c r="G35" s="3">
        <f t="shared" si="18"/>
        <v>10</v>
      </c>
      <c r="H35" s="3">
        <f t="shared" si="18"/>
        <v>8</v>
      </c>
      <c r="I35" s="3">
        <f t="shared" si="18"/>
        <v>12</v>
      </c>
      <c r="J35" s="3">
        <f t="shared" si="18"/>
        <v>7</v>
      </c>
      <c r="K35" s="3">
        <f t="shared" si="18"/>
        <v>7</v>
      </c>
      <c r="L35" s="3">
        <f t="shared" si="18"/>
        <v>14</v>
      </c>
      <c r="M35" s="3">
        <f t="shared" si="18"/>
        <v>16</v>
      </c>
      <c r="N35" s="3">
        <f t="shared" si="18"/>
        <v>17</v>
      </c>
      <c r="O35" s="3">
        <f t="shared" si="18"/>
        <v>23</v>
      </c>
      <c r="P35" s="3">
        <f t="shared" si="18"/>
        <v>15</v>
      </c>
      <c r="Q35" s="3">
        <f t="shared" si="18"/>
        <v>16</v>
      </c>
    </row>
    <row r="36" spans="3:17" x14ac:dyDescent="0.25">
      <c r="C36" s="1" t="s">
        <v>5</v>
      </c>
      <c r="D36" s="3">
        <f t="shared" ref="D36:Q38" si="19">D88</f>
        <v>16</v>
      </c>
      <c r="E36" s="3">
        <f t="shared" si="19"/>
        <v>15</v>
      </c>
      <c r="F36" s="3">
        <f t="shared" si="19"/>
        <v>21</v>
      </c>
      <c r="G36" s="3">
        <f t="shared" si="19"/>
        <v>18</v>
      </c>
      <c r="H36" s="3">
        <f t="shared" si="19"/>
        <v>24</v>
      </c>
      <c r="I36" s="3">
        <f t="shared" si="19"/>
        <v>18</v>
      </c>
      <c r="J36" s="3">
        <f t="shared" si="19"/>
        <v>15</v>
      </c>
      <c r="K36" s="3">
        <f t="shared" si="19"/>
        <v>16</v>
      </c>
      <c r="L36" s="3">
        <f t="shared" si="19"/>
        <v>19</v>
      </c>
      <c r="M36" s="3">
        <f t="shared" si="19"/>
        <v>12</v>
      </c>
      <c r="N36" s="3">
        <f t="shared" si="19"/>
        <v>15</v>
      </c>
      <c r="O36" s="3">
        <f t="shared" si="19"/>
        <v>17</v>
      </c>
      <c r="P36" s="3">
        <f t="shared" si="19"/>
        <v>20</v>
      </c>
      <c r="Q36" s="3">
        <f t="shared" si="19"/>
        <v>23</v>
      </c>
    </row>
    <row r="37" spans="3:17" x14ac:dyDescent="0.25">
      <c r="C37" s="1" t="s">
        <v>6</v>
      </c>
      <c r="D37" s="3">
        <f t="shared" si="19"/>
        <v>2</v>
      </c>
      <c r="E37" s="3">
        <f t="shared" si="19"/>
        <v>1</v>
      </c>
      <c r="F37" s="3">
        <f t="shared" si="19"/>
        <v>4</v>
      </c>
      <c r="G37" s="3">
        <f t="shared" si="19"/>
        <v>2</v>
      </c>
      <c r="H37" s="3">
        <f t="shared" si="19"/>
        <v>4</v>
      </c>
      <c r="I37" s="3">
        <f t="shared" si="19"/>
        <v>4</v>
      </c>
      <c r="J37" s="3">
        <f t="shared" si="19"/>
        <v>2</v>
      </c>
      <c r="K37" s="3">
        <f t="shared" si="19"/>
        <v>4</v>
      </c>
      <c r="L37" s="3">
        <f t="shared" si="19"/>
        <v>1</v>
      </c>
      <c r="M37" s="3">
        <f t="shared" si="19"/>
        <v>1</v>
      </c>
      <c r="N37" s="3">
        <f t="shared" si="19"/>
        <v>1</v>
      </c>
      <c r="O37" s="3">
        <f t="shared" si="19"/>
        <v>2</v>
      </c>
      <c r="P37" s="3">
        <f t="shared" si="19"/>
        <v>1</v>
      </c>
      <c r="Q37" s="3">
        <f t="shared" si="19"/>
        <v>3</v>
      </c>
    </row>
    <row r="38" spans="3:17" x14ac:dyDescent="0.25">
      <c r="C38" s="1" t="s">
        <v>7</v>
      </c>
      <c r="D38" s="3">
        <f t="shared" si="19"/>
        <v>2</v>
      </c>
      <c r="E38" s="3">
        <f t="shared" si="19"/>
        <v>1</v>
      </c>
      <c r="F38" s="3">
        <f t="shared" si="19"/>
        <v>0</v>
      </c>
      <c r="G38" s="3">
        <f t="shared" si="19"/>
        <v>0</v>
      </c>
      <c r="H38" s="3">
        <f t="shared" si="19"/>
        <v>0</v>
      </c>
      <c r="I38" s="3">
        <f t="shared" si="19"/>
        <v>0</v>
      </c>
      <c r="J38" s="3">
        <f t="shared" si="19"/>
        <v>0</v>
      </c>
      <c r="K38" s="3">
        <f t="shared" si="19"/>
        <v>0</v>
      </c>
      <c r="L38" s="3">
        <f t="shared" si="19"/>
        <v>0</v>
      </c>
      <c r="M38" s="3">
        <f t="shared" si="19"/>
        <v>1</v>
      </c>
      <c r="N38" s="3">
        <f t="shared" si="19"/>
        <v>0</v>
      </c>
      <c r="O38" s="3">
        <f t="shared" si="19"/>
        <v>0</v>
      </c>
      <c r="P38" s="3">
        <f t="shared" si="19"/>
        <v>0</v>
      </c>
      <c r="Q38" s="3">
        <f t="shared" si="19"/>
        <v>0</v>
      </c>
    </row>
    <row r="39" spans="3:17" x14ac:dyDescent="0.25">
      <c r="C39" s="1" t="s">
        <v>8</v>
      </c>
      <c r="D39" s="3">
        <f>SUM(D35:D38)</f>
        <v>33</v>
      </c>
      <c r="E39" s="3">
        <f t="shared" ref="E39" si="20">SUM(E35:E38)</f>
        <v>31</v>
      </c>
      <c r="F39" s="3">
        <f t="shared" ref="F39" si="21">SUM(F35:F38)</f>
        <v>34</v>
      </c>
      <c r="G39" s="3">
        <f t="shared" ref="G39" si="22">SUM(G35:G38)</f>
        <v>30</v>
      </c>
      <c r="H39" s="3">
        <f t="shared" ref="H39" si="23">SUM(H35:H38)</f>
        <v>36</v>
      </c>
      <c r="I39" s="3">
        <f t="shared" ref="I39" si="24">SUM(I35:I38)</f>
        <v>34</v>
      </c>
      <c r="J39" s="3">
        <f t="shared" ref="J39" si="25">SUM(J35:J38)</f>
        <v>24</v>
      </c>
      <c r="K39" s="3">
        <f t="shared" ref="K39" si="26">SUM(K35:K38)</f>
        <v>27</v>
      </c>
      <c r="L39" s="3">
        <f t="shared" ref="L39" si="27">SUM(L35:L38)</f>
        <v>34</v>
      </c>
      <c r="M39" s="3">
        <f t="shared" ref="M39" si="28">SUM(M35:M38)</f>
        <v>30</v>
      </c>
      <c r="N39" s="3">
        <f t="shared" ref="N39" si="29">SUM(N35:N38)</f>
        <v>33</v>
      </c>
      <c r="O39" s="3">
        <f t="shared" ref="O39" si="30">SUM(O35:O38)</f>
        <v>42</v>
      </c>
      <c r="P39" s="3">
        <f t="shared" ref="P39" si="31">SUM(P35:P38)</f>
        <v>36</v>
      </c>
      <c r="Q39" s="3">
        <f t="shared" ref="Q39" si="32">SUM(Q35:Q38)</f>
        <v>42</v>
      </c>
    </row>
    <row r="40" spans="3:17" x14ac:dyDescent="0.25">
      <c r="C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3:17" x14ac:dyDescent="0.25">
      <c r="C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3:17" x14ac:dyDescent="0.25">
      <c r="C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3:17" x14ac:dyDescent="0.25">
      <c r="C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3:17" x14ac:dyDescent="0.25">
      <c r="C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3:17" x14ac:dyDescent="0.25"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3:17" x14ac:dyDescent="0.25">
      <c r="C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3:17" x14ac:dyDescent="0.25">
      <c r="C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3:17" x14ac:dyDescent="0.25">
      <c r="C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3:17" x14ac:dyDescent="0.25">
      <c r="C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3:17" x14ac:dyDescent="0.25">
      <c r="C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3:17" x14ac:dyDescent="0.25">
      <c r="C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3:17" x14ac:dyDescent="0.25">
      <c r="C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3:17" x14ac:dyDescent="0.25">
      <c r="C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3:17" x14ac:dyDescent="0.25">
      <c r="C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3:17" x14ac:dyDescent="0.25">
      <c r="C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3:17" x14ac:dyDescent="0.25">
      <c r="C56" s="2" t="s">
        <v>16</v>
      </c>
    </row>
    <row r="57" spans="3:17" x14ac:dyDescent="0.25">
      <c r="D57" s="7">
        <v>2011</v>
      </c>
      <c r="E57" s="7">
        <v>2012</v>
      </c>
      <c r="F57" s="7">
        <v>2013</v>
      </c>
      <c r="G57" s="7">
        <v>2014</v>
      </c>
      <c r="H57" s="7">
        <v>2015</v>
      </c>
      <c r="I57" s="7">
        <v>2016</v>
      </c>
      <c r="J57" s="7">
        <v>2017</v>
      </c>
      <c r="K57" s="7">
        <v>2018</v>
      </c>
      <c r="L57" s="7">
        <v>2019</v>
      </c>
      <c r="M57" s="7">
        <v>2020</v>
      </c>
      <c r="N57" s="7">
        <v>2021</v>
      </c>
      <c r="O57" s="7">
        <v>2022</v>
      </c>
      <c r="P57" s="7">
        <v>2023</v>
      </c>
      <c r="Q57" s="7">
        <v>2024</v>
      </c>
    </row>
    <row r="58" spans="3:17" x14ac:dyDescent="0.25">
      <c r="C58" s="1" t="s">
        <v>9</v>
      </c>
      <c r="D58" s="3">
        <f>D81</f>
        <v>1037</v>
      </c>
      <c r="E58" s="3">
        <f t="shared" ref="E58:Q58" si="33">E81</f>
        <v>1071</v>
      </c>
      <c r="F58" s="3">
        <f t="shared" si="33"/>
        <v>699</v>
      </c>
      <c r="G58" s="3">
        <f t="shared" si="33"/>
        <v>968</v>
      </c>
      <c r="H58" s="3">
        <f t="shared" si="33"/>
        <v>931</v>
      </c>
      <c r="I58" s="3">
        <f t="shared" si="33"/>
        <v>1051</v>
      </c>
      <c r="J58" s="3">
        <f t="shared" si="33"/>
        <v>1082</v>
      </c>
      <c r="K58" s="3">
        <f t="shared" si="33"/>
        <v>994</v>
      </c>
      <c r="L58" s="3">
        <f t="shared" si="33"/>
        <v>1055</v>
      </c>
      <c r="M58" s="3">
        <f t="shared" si="33"/>
        <v>778</v>
      </c>
      <c r="N58" s="3">
        <f t="shared" si="33"/>
        <v>964</v>
      </c>
      <c r="O58" s="3">
        <f t="shared" si="33"/>
        <v>1000</v>
      </c>
      <c r="P58" s="3">
        <f t="shared" si="33"/>
        <v>944</v>
      </c>
      <c r="Q58" s="3">
        <f t="shared" si="33"/>
        <v>926</v>
      </c>
    </row>
    <row r="59" spans="3:17" x14ac:dyDescent="0.25">
      <c r="C59" s="1" t="s">
        <v>10</v>
      </c>
      <c r="D59" s="3">
        <f>D86</f>
        <v>200</v>
      </c>
      <c r="E59" s="3">
        <f t="shared" ref="E59:Q59" si="34">E86</f>
        <v>206</v>
      </c>
      <c r="F59" s="3">
        <f t="shared" si="34"/>
        <v>137</v>
      </c>
      <c r="G59" s="3">
        <f t="shared" si="34"/>
        <v>228</v>
      </c>
      <c r="H59" s="3">
        <f t="shared" si="34"/>
        <v>223</v>
      </c>
      <c r="I59" s="3">
        <f t="shared" si="34"/>
        <v>269</v>
      </c>
      <c r="J59" s="3">
        <f t="shared" si="34"/>
        <v>268</v>
      </c>
      <c r="K59" s="3">
        <f t="shared" si="34"/>
        <v>276</v>
      </c>
      <c r="L59" s="3">
        <f t="shared" si="34"/>
        <v>304</v>
      </c>
      <c r="M59" s="3">
        <f t="shared" si="34"/>
        <v>208</v>
      </c>
      <c r="N59" s="3">
        <f t="shared" si="34"/>
        <v>282</v>
      </c>
      <c r="O59" s="3">
        <f t="shared" si="34"/>
        <v>275</v>
      </c>
      <c r="P59" s="3">
        <f t="shared" si="34"/>
        <v>228</v>
      </c>
      <c r="Q59" s="3">
        <f t="shared" si="34"/>
        <v>286</v>
      </c>
    </row>
    <row r="60" spans="3:17" x14ac:dyDescent="0.25">
      <c r="C60" s="1" t="s">
        <v>11</v>
      </c>
      <c r="D60" s="3">
        <f>D91</f>
        <v>33</v>
      </c>
      <c r="E60" s="3">
        <f t="shared" ref="E60:Q60" si="35">E91</f>
        <v>31</v>
      </c>
      <c r="F60" s="3">
        <f t="shared" si="35"/>
        <v>34</v>
      </c>
      <c r="G60" s="3">
        <f t="shared" si="35"/>
        <v>30</v>
      </c>
      <c r="H60" s="3">
        <f t="shared" si="35"/>
        <v>36</v>
      </c>
      <c r="I60" s="3">
        <f t="shared" si="35"/>
        <v>34</v>
      </c>
      <c r="J60" s="3">
        <f t="shared" si="35"/>
        <v>24</v>
      </c>
      <c r="K60" s="3">
        <f t="shared" si="35"/>
        <v>27</v>
      </c>
      <c r="L60" s="3">
        <f t="shared" si="35"/>
        <v>34</v>
      </c>
      <c r="M60" s="3">
        <f t="shared" si="35"/>
        <v>30</v>
      </c>
      <c r="N60" s="3">
        <f t="shared" si="35"/>
        <v>33</v>
      </c>
      <c r="O60" s="3">
        <f t="shared" si="35"/>
        <v>42</v>
      </c>
      <c r="P60" s="3">
        <f t="shared" si="35"/>
        <v>36</v>
      </c>
      <c r="Q60" s="3">
        <f t="shared" si="35"/>
        <v>42</v>
      </c>
    </row>
    <row r="61" spans="3:17" x14ac:dyDescent="0.25">
      <c r="C61" s="1" t="s">
        <v>8</v>
      </c>
      <c r="D61" s="3">
        <f>SUM(D58:D60)</f>
        <v>1270</v>
      </c>
      <c r="E61" s="3">
        <f t="shared" ref="E61:Q61" si="36">SUM(E58:E60)</f>
        <v>1308</v>
      </c>
      <c r="F61" s="3">
        <f t="shared" si="36"/>
        <v>870</v>
      </c>
      <c r="G61" s="3">
        <f t="shared" si="36"/>
        <v>1226</v>
      </c>
      <c r="H61" s="3">
        <f t="shared" si="36"/>
        <v>1190</v>
      </c>
      <c r="I61" s="3">
        <f t="shared" si="36"/>
        <v>1354</v>
      </c>
      <c r="J61" s="3">
        <f t="shared" si="36"/>
        <v>1374</v>
      </c>
      <c r="K61" s="3">
        <f t="shared" si="36"/>
        <v>1297</v>
      </c>
      <c r="L61" s="3">
        <f t="shared" si="36"/>
        <v>1393</v>
      </c>
      <c r="M61" s="3">
        <f t="shared" si="36"/>
        <v>1016</v>
      </c>
      <c r="N61" s="3">
        <f t="shared" si="36"/>
        <v>1279</v>
      </c>
      <c r="O61" s="3">
        <f t="shared" si="36"/>
        <v>1317</v>
      </c>
      <c r="P61" s="3">
        <f t="shared" si="36"/>
        <v>1208</v>
      </c>
      <c r="Q61" s="3">
        <f t="shared" si="36"/>
        <v>1254</v>
      </c>
    </row>
    <row r="63" spans="3:17" x14ac:dyDescent="0.25">
      <c r="C63" s="2" t="s">
        <v>25</v>
      </c>
    </row>
    <row r="64" spans="3:17" x14ac:dyDescent="0.25">
      <c r="D64" s="7">
        <v>2011</v>
      </c>
      <c r="E64" s="7">
        <v>2012</v>
      </c>
      <c r="F64" s="7">
        <v>2013</v>
      </c>
      <c r="G64" s="7">
        <v>2014</v>
      </c>
      <c r="H64" s="7">
        <v>2015</v>
      </c>
      <c r="I64" s="7">
        <v>2016</v>
      </c>
      <c r="J64" s="7">
        <v>2017</v>
      </c>
      <c r="K64" s="7">
        <v>2018</v>
      </c>
      <c r="L64" s="7">
        <v>2019</v>
      </c>
      <c r="M64" s="7">
        <v>2020</v>
      </c>
      <c r="N64" s="7">
        <v>2021</v>
      </c>
      <c r="O64" s="7">
        <v>2022</v>
      </c>
      <c r="P64" s="7">
        <v>2023</v>
      </c>
      <c r="Q64" s="7">
        <v>2024</v>
      </c>
    </row>
    <row r="65" spans="2:17" x14ac:dyDescent="0.25">
      <c r="C65" s="1" t="s">
        <v>9</v>
      </c>
      <c r="D65" s="3">
        <f>SUM(D78:D80)</f>
        <v>529</v>
      </c>
      <c r="E65" s="3">
        <f t="shared" ref="E65:Q65" si="37">SUM(E78:E80)</f>
        <v>608</v>
      </c>
      <c r="F65" s="3">
        <f t="shared" si="37"/>
        <v>361</v>
      </c>
      <c r="G65" s="3">
        <f t="shared" si="37"/>
        <v>509</v>
      </c>
      <c r="H65" s="3">
        <f t="shared" si="37"/>
        <v>477</v>
      </c>
      <c r="I65" s="3">
        <f t="shared" si="37"/>
        <v>503</v>
      </c>
      <c r="J65" s="3">
        <f t="shared" si="37"/>
        <v>506</v>
      </c>
      <c r="K65" s="3">
        <f t="shared" si="37"/>
        <v>476</v>
      </c>
      <c r="L65" s="3">
        <f t="shared" si="37"/>
        <v>479</v>
      </c>
      <c r="M65" s="3">
        <f t="shared" si="37"/>
        <v>324</v>
      </c>
      <c r="N65" s="3">
        <f t="shared" si="37"/>
        <v>360</v>
      </c>
      <c r="O65" s="3">
        <f t="shared" si="37"/>
        <v>382</v>
      </c>
      <c r="P65" s="3">
        <f t="shared" si="37"/>
        <v>361</v>
      </c>
      <c r="Q65" s="3">
        <f t="shared" si="37"/>
        <v>403</v>
      </c>
    </row>
    <row r="66" spans="2:17" x14ac:dyDescent="0.25">
      <c r="C66" s="1" t="s">
        <v>10</v>
      </c>
      <c r="D66" s="3">
        <f>SUM(D83:D85)</f>
        <v>112</v>
      </c>
      <c r="E66" s="3">
        <f t="shared" ref="E66:Q66" si="38">SUM(E83:E85)</f>
        <v>114</v>
      </c>
      <c r="F66" s="3">
        <f t="shared" si="38"/>
        <v>83</v>
      </c>
      <c r="G66" s="3">
        <f t="shared" si="38"/>
        <v>141</v>
      </c>
      <c r="H66" s="3">
        <f t="shared" si="38"/>
        <v>127</v>
      </c>
      <c r="I66" s="3">
        <f t="shared" si="38"/>
        <v>149</v>
      </c>
      <c r="J66" s="3">
        <f t="shared" si="38"/>
        <v>145</v>
      </c>
      <c r="K66" s="3">
        <f t="shared" si="38"/>
        <v>149</v>
      </c>
      <c r="L66" s="3">
        <f t="shared" si="38"/>
        <v>164</v>
      </c>
      <c r="M66" s="3">
        <f t="shared" si="38"/>
        <v>110</v>
      </c>
      <c r="N66" s="3">
        <f t="shared" si="38"/>
        <v>135</v>
      </c>
      <c r="O66" s="3">
        <f t="shared" si="38"/>
        <v>134</v>
      </c>
      <c r="P66" s="3">
        <f t="shared" si="38"/>
        <v>114</v>
      </c>
      <c r="Q66" s="3">
        <f t="shared" si="38"/>
        <v>143</v>
      </c>
    </row>
    <row r="67" spans="2:17" x14ac:dyDescent="0.25">
      <c r="C67" s="1" t="s">
        <v>11</v>
      </c>
      <c r="D67" s="3">
        <f>SUM(D88:D90)</f>
        <v>20</v>
      </c>
      <c r="E67" s="3">
        <f t="shared" ref="E67:Q67" si="39">SUM(E88:E90)</f>
        <v>17</v>
      </c>
      <c r="F67" s="3">
        <f t="shared" si="39"/>
        <v>25</v>
      </c>
      <c r="G67" s="3">
        <f t="shared" si="39"/>
        <v>20</v>
      </c>
      <c r="H67" s="3">
        <f t="shared" si="39"/>
        <v>28</v>
      </c>
      <c r="I67" s="3">
        <f t="shared" si="39"/>
        <v>22</v>
      </c>
      <c r="J67" s="3">
        <f t="shared" si="39"/>
        <v>17</v>
      </c>
      <c r="K67" s="3">
        <f t="shared" si="39"/>
        <v>20</v>
      </c>
      <c r="L67" s="3">
        <f t="shared" si="39"/>
        <v>20</v>
      </c>
      <c r="M67" s="3">
        <f t="shared" si="39"/>
        <v>14</v>
      </c>
      <c r="N67" s="3">
        <f t="shared" si="39"/>
        <v>16</v>
      </c>
      <c r="O67" s="3">
        <f t="shared" si="39"/>
        <v>19</v>
      </c>
      <c r="P67" s="3">
        <f t="shared" si="39"/>
        <v>21</v>
      </c>
      <c r="Q67" s="3">
        <f t="shared" si="39"/>
        <v>26</v>
      </c>
    </row>
    <row r="68" spans="2:17" x14ac:dyDescent="0.25">
      <c r="C68" s="1" t="s">
        <v>8</v>
      </c>
      <c r="D68" s="3">
        <f>SUM(D65:D67)</f>
        <v>661</v>
      </c>
      <c r="E68" s="3">
        <f t="shared" ref="E68" si="40">SUM(E65:E67)</f>
        <v>739</v>
      </c>
      <c r="F68" s="3">
        <f t="shared" ref="F68" si="41">SUM(F65:F67)</f>
        <v>469</v>
      </c>
      <c r="G68" s="3">
        <f t="shared" ref="G68" si="42">SUM(G65:G67)</f>
        <v>670</v>
      </c>
      <c r="H68" s="3">
        <f t="shared" ref="H68" si="43">SUM(H65:H67)</f>
        <v>632</v>
      </c>
      <c r="I68" s="3">
        <f t="shared" ref="I68" si="44">SUM(I65:I67)</f>
        <v>674</v>
      </c>
      <c r="J68" s="3">
        <f t="shared" ref="J68" si="45">SUM(J65:J67)</f>
        <v>668</v>
      </c>
      <c r="K68" s="3">
        <f t="shared" ref="K68" si="46">SUM(K65:K67)</f>
        <v>645</v>
      </c>
      <c r="L68" s="3">
        <f t="shared" ref="L68" si="47">SUM(L65:L67)</f>
        <v>663</v>
      </c>
      <c r="M68" s="3">
        <f t="shared" ref="M68" si="48">SUM(M65:M67)</f>
        <v>448</v>
      </c>
      <c r="N68" s="3">
        <f t="shared" ref="N68" si="49">SUM(N65:N67)</f>
        <v>511</v>
      </c>
      <c r="O68" s="3">
        <f t="shared" ref="O68" si="50">SUM(O65:O67)</f>
        <v>535</v>
      </c>
      <c r="P68" s="3">
        <f t="shared" ref="P68" si="51">SUM(P65:P67)</f>
        <v>496</v>
      </c>
      <c r="Q68" s="3">
        <f t="shared" ref="Q68" si="52">SUM(Q65:Q67)</f>
        <v>572</v>
      </c>
    </row>
    <row r="70" spans="2:17" x14ac:dyDescent="0.25">
      <c r="B70" s="2" t="s">
        <v>0</v>
      </c>
    </row>
    <row r="71" spans="2:17" x14ac:dyDescent="0.25">
      <c r="B71" s="1" t="s">
        <v>1</v>
      </c>
      <c r="C71" s="1" t="s">
        <v>2</v>
      </c>
      <c r="D71" s="1">
        <v>2011</v>
      </c>
      <c r="E71" s="1">
        <v>2012</v>
      </c>
      <c r="F71" s="1">
        <v>2013</v>
      </c>
      <c r="G71" s="1">
        <v>2014</v>
      </c>
      <c r="H71" s="1">
        <v>2015</v>
      </c>
      <c r="I71" s="1">
        <v>2016</v>
      </c>
      <c r="J71" s="1">
        <v>2017</v>
      </c>
      <c r="K71" s="1">
        <v>2018</v>
      </c>
      <c r="L71" s="1">
        <v>2019</v>
      </c>
      <c r="M71" s="1">
        <v>2020</v>
      </c>
      <c r="N71" s="1">
        <v>2021</v>
      </c>
      <c r="O71" s="1">
        <v>2022</v>
      </c>
      <c r="P71" s="1">
        <v>2023</v>
      </c>
      <c r="Q71" s="1">
        <v>2024</v>
      </c>
    </row>
    <row r="72" spans="2:17" x14ac:dyDescent="0.25">
      <c r="B72" s="4" t="s">
        <v>3</v>
      </c>
      <c r="C72" s="1" t="s">
        <v>4</v>
      </c>
      <c r="D72" s="3">
        <v>1575</v>
      </c>
      <c r="E72" s="3">
        <v>1587</v>
      </c>
      <c r="F72" s="3">
        <v>1180</v>
      </c>
      <c r="G72" s="3">
        <v>1649</v>
      </c>
      <c r="H72" s="3">
        <v>1554</v>
      </c>
      <c r="I72" s="3">
        <v>1815</v>
      </c>
      <c r="J72" s="3">
        <v>1859</v>
      </c>
      <c r="K72" s="3">
        <v>1756</v>
      </c>
      <c r="L72" s="3">
        <v>1789</v>
      </c>
      <c r="M72" s="3">
        <v>1196</v>
      </c>
      <c r="N72" s="3">
        <v>1528</v>
      </c>
      <c r="O72" s="3">
        <v>1562</v>
      </c>
      <c r="P72" s="3">
        <v>1591</v>
      </c>
      <c r="Q72" s="3">
        <v>1600</v>
      </c>
    </row>
    <row r="73" spans="2:17" x14ac:dyDescent="0.25">
      <c r="B73" s="5"/>
      <c r="C73" s="1" t="s">
        <v>5</v>
      </c>
      <c r="D73" s="3">
        <v>480</v>
      </c>
      <c r="E73" s="3">
        <v>525</v>
      </c>
      <c r="F73" s="3">
        <v>282</v>
      </c>
      <c r="G73" s="3">
        <v>493</v>
      </c>
      <c r="H73" s="3">
        <v>394</v>
      </c>
      <c r="I73" s="3">
        <v>466</v>
      </c>
      <c r="J73" s="3">
        <v>457</v>
      </c>
      <c r="K73" s="3">
        <v>471</v>
      </c>
      <c r="L73" s="3">
        <v>430</v>
      </c>
      <c r="M73" s="3">
        <v>254</v>
      </c>
      <c r="N73" s="3">
        <v>262</v>
      </c>
      <c r="O73" s="3">
        <v>257</v>
      </c>
      <c r="P73" s="3">
        <v>284</v>
      </c>
      <c r="Q73" s="3">
        <v>289</v>
      </c>
    </row>
    <row r="74" spans="2:17" x14ac:dyDescent="0.25">
      <c r="B74" s="5"/>
      <c r="C74" s="1" t="s">
        <v>6</v>
      </c>
      <c r="D74" s="3">
        <v>285</v>
      </c>
      <c r="E74" s="3">
        <v>288</v>
      </c>
      <c r="F74" s="3">
        <v>198</v>
      </c>
      <c r="G74" s="3">
        <v>304</v>
      </c>
      <c r="H74" s="3">
        <v>261</v>
      </c>
      <c r="I74" s="3">
        <v>249</v>
      </c>
      <c r="J74" s="3">
        <v>245</v>
      </c>
      <c r="K74" s="3">
        <v>262</v>
      </c>
      <c r="L74" s="3">
        <v>243</v>
      </c>
      <c r="M74" s="3">
        <v>161</v>
      </c>
      <c r="N74" s="3">
        <v>164</v>
      </c>
      <c r="O74" s="3">
        <v>145</v>
      </c>
      <c r="P74" s="3">
        <v>173</v>
      </c>
      <c r="Q74" s="3">
        <v>198</v>
      </c>
    </row>
    <row r="75" spans="2:17" x14ac:dyDescent="0.25">
      <c r="B75" s="5"/>
      <c r="C75" s="1" t="s">
        <v>7</v>
      </c>
      <c r="D75" s="3">
        <v>12</v>
      </c>
      <c r="E75" s="3">
        <v>10</v>
      </c>
      <c r="F75" s="3">
        <v>10</v>
      </c>
      <c r="G75" s="3">
        <v>9</v>
      </c>
      <c r="H75" s="3">
        <v>10</v>
      </c>
      <c r="I75" s="3">
        <v>12</v>
      </c>
      <c r="J75" s="3">
        <v>10</v>
      </c>
      <c r="K75" s="3">
        <v>10</v>
      </c>
      <c r="L75" s="3">
        <v>13</v>
      </c>
      <c r="M75" s="3">
        <v>7</v>
      </c>
      <c r="N75" s="3">
        <v>6</v>
      </c>
      <c r="O75" s="3">
        <v>2</v>
      </c>
      <c r="P75" s="3">
        <v>3</v>
      </c>
      <c r="Q75" s="3">
        <v>8</v>
      </c>
    </row>
    <row r="76" spans="2:17" x14ac:dyDescent="0.25">
      <c r="B76" s="6"/>
      <c r="C76" s="1" t="s">
        <v>8</v>
      </c>
      <c r="D76" s="3">
        <f t="shared" ref="D76:Q76" si="53">SUM(D72:D75)</f>
        <v>2352</v>
      </c>
      <c r="E76" s="3">
        <f t="shared" si="53"/>
        <v>2410</v>
      </c>
      <c r="F76" s="3">
        <f t="shared" si="53"/>
        <v>1670</v>
      </c>
      <c r="G76" s="3">
        <f t="shared" si="53"/>
        <v>2455</v>
      </c>
      <c r="H76" s="3">
        <f t="shared" si="53"/>
        <v>2219</v>
      </c>
      <c r="I76" s="3">
        <f t="shared" si="53"/>
        <v>2542</v>
      </c>
      <c r="J76" s="3">
        <f t="shared" si="53"/>
        <v>2571</v>
      </c>
      <c r="K76" s="3">
        <f t="shared" si="53"/>
        <v>2499</v>
      </c>
      <c r="L76" s="3">
        <f t="shared" si="53"/>
        <v>2475</v>
      </c>
      <c r="M76" s="3">
        <f t="shared" si="53"/>
        <v>1618</v>
      </c>
      <c r="N76" s="3">
        <f t="shared" si="53"/>
        <v>1960</v>
      </c>
      <c r="O76" s="3">
        <f t="shared" si="53"/>
        <v>1966</v>
      </c>
      <c r="P76" s="3">
        <f t="shared" si="53"/>
        <v>2051</v>
      </c>
      <c r="Q76" s="3">
        <f t="shared" si="53"/>
        <v>2095</v>
      </c>
    </row>
    <row r="77" spans="2:17" x14ac:dyDescent="0.25">
      <c r="B77" s="4" t="s">
        <v>9</v>
      </c>
      <c r="C77" s="1" t="s">
        <v>4</v>
      </c>
      <c r="D77" s="3">
        <v>508</v>
      </c>
      <c r="E77" s="3">
        <v>463</v>
      </c>
      <c r="F77" s="3">
        <v>338</v>
      </c>
      <c r="G77" s="3">
        <v>459</v>
      </c>
      <c r="H77" s="3">
        <v>454</v>
      </c>
      <c r="I77" s="3">
        <v>548</v>
      </c>
      <c r="J77" s="3">
        <v>576</v>
      </c>
      <c r="K77" s="3">
        <v>518</v>
      </c>
      <c r="L77" s="3">
        <v>576</v>
      </c>
      <c r="M77" s="3">
        <v>454</v>
      </c>
      <c r="N77" s="3">
        <v>604</v>
      </c>
      <c r="O77" s="3">
        <v>618</v>
      </c>
      <c r="P77" s="3">
        <v>583</v>
      </c>
      <c r="Q77" s="3">
        <v>523</v>
      </c>
    </row>
    <row r="78" spans="2:17" x14ac:dyDescent="0.25">
      <c r="B78" s="5"/>
      <c r="C78" s="1" t="s">
        <v>5</v>
      </c>
      <c r="D78" s="3">
        <v>239</v>
      </c>
      <c r="E78" s="3">
        <v>292</v>
      </c>
      <c r="F78" s="3">
        <v>166</v>
      </c>
      <c r="G78" s="3">
        <v>232</v>
      </c>
      <c r="H78" s="3">
        <v>229</v>
      </c>
      <c r="I78" s="3">
        <v>249</v>
      </c>
      <c r="J78" s="3">
        <v>252</v>
      </c>
      <c r="K78" s="3">
        <v>228</v>
      </c>
      <c r="L78" s="3">
        <v>238</v>
      </c>
      <c r="M78" s="3">
        <v>155</v>
      </c>
      <c r="N78" s="3">
        <v>174</v>
      </c>
      <c r="O78" s="3">
        <v>198</v>
      </c>
      <c r="P78" s="3">
        <v>199</v>
      </c>
      <c r="Q78" s="3">
        <v>213</v>
      </c>
    </row>
    <row r="79" spans="2:17" x14ac:dyDescent="0.25">
      <c r="B79" s="5"/>
      <c r="C79" s="1" t="s">
        <v>6</v>
      </c>
      <c r="D79" s="3">
        <v>277</v>
      </c>
      <c r="E79" s="3">
        <v>291</v>
      </c>
      <c r="F79" s="3">
        <v>181</v>
      </c>
      <c r="G79" s="3">
        <v>264</v>
      </c>
      <c r="H79" s="3">
        <v>238</v>
      </c>
      <c r="I79" s="3">
        <v>245</v>
      </c>
      <c r="J79" s="3">
        <v>237</v>
      </c>
      <c r="K79" s="3">
        <v>233</v>
      </c>
      <c r="L79" s="3">
        <v>229</v>
      </c>
      <c r="M79" s="3">
        <v>160</v>
      </c>
      <c r="N79" s="3">
        <v>176</v>
      </c>
      <c r="O79" s="3">
        <v>173</v>
      </c>
      <c r="P79" s="3">
        <v>154</v>
      </c>
      <c r="Q79" s="3">
        <v>178</v>
      </c>
    </row>
    <row r="80" spans="2:17" x14ac:dyDescent="0.25">
      <c r="B80" s="5"/>
      <c r="C80" s="1" t="s">
        <v>7</v>
      </c>
      <c r="D80" s="3">
        <v>13</v>
      </c>
      <c r="E80" s="3">
        <v>25</v>
      </c>
      <c r="F80" s="3">
        <v>14</v>
      </c>
      <c r="G80" s="3">
        <v>13</v>
      </c>
      <c r="H80" s="3">
        <v>10</v>
      </c>
      <c r="I80" s="3">
        <v>9</v>
      </c>
      <c r="J80" s="3">
        <v>17</v>
      </c>
      <c r="K80" s="3">
        <v>15</v>
      </c>
      <c r="L80" s="3">
        <v>12</v>
      </c>
      <c r="M80" s="3">
        <v>9</v>
      </c>
      <c r="N80" s="3">
        <v>10</v>
      </c>
      <c r="O80" s="3">
        <v>11</v>
      </c>
      <c r="P80" s="3">
        <v>8</v>
      </c>
      <c r="Q80" s="3">
        <v>12</v>
      </c>
    </row>
    <row r="81" spans="2:17" x14ac:dyDescent="0.25">
      <c r="B81" s="6"/>
      <c r="C81" s="1" t="s">
        <v>8</v>
      </c>
      <c r="D81" s="3">
        <f t="shared" ref="D81:Q81" si="54">SUM(D77:D80)</f>
        <v>1037</v>
      </c>
      <c r="E81" s="3">
        <f t="shared" si="54"/>
        <v>1071</v>
      </c>
      <c r="F81" s="3">
        <f t="shared" si="54"/>
        <v>699</v>
      </c>
      <c r="G81" s="3">
        <f t="shared" si="54"/>
        <v>968</v>
      </c>
      <c r="H81" s="3">
        <f t="shared" si="54"/>
        <v>931</v>
      </c>
      <c r="I81" s="3">
        <f t="shared" si="54"/>
        <v>1051</v>
      </c>
      <c r="J81" s="3">
        <f t="shared" si="54"/>
        <v>1082</v>
      </c>
      <c r="K81" s="3">
        <f t="shared" si="54"/>
        <v>994</v>
      </c>
      <c r="L81" s="3">
        <f t="shared" si="54"/>
        <v>1055</v>
      </c>
      <c r="M81" s="3">
        <f t="shared" si="54"/>
        <v>778</v>
      </c>
      <c r="N81" s="3">
        <f t="shared" si="54"/>
        <v>964</v>
      </c>
      <c r="O81" s="3">
        <f t="shared" si="54"/>
        <v>1000</v>
      </c>
      <c r="P81" s="3">
        <f t="shared" si="54"/>
        <v>944</v>
      </c>
      <c r="Q81" s="3">
        <f t="shared" si="54"/>
        <v>926</v>
      </c>
    </row>
    <row r="82" spans="2:17" x14ac:dyDescent="0.25">
      <c r="B82" s="4" t="s">
        <v>10</v>
      </c>
      <c r="C82" s="1" t="s">
        <v>4</v>
      </c>
      <c r="D82" s="3">
        <v>88</v>
      </c>
      <c r="E82" s="3">
        <v>92</v>
      </c>
      <c r="F82" s="3">
        <v>54</v>
      </c>
      <c r="G82" s="3">
        <v>87</v>
      </c>
      <c r="H82" s="3">
        <v>96</v>
      </c>
      <c r="I82" s="3">
        <v>120</v>
      </c>
      <c r="J82" s="3">
        <v>123</v>
      </c>
      <c r="K82" s="3">
        <v>127</v>
      </c>
      <c r="L82" s="3">
        <v>140</v>
      </c>
      <c r="M82" s="3">
        <v>98</v>
      </c>
      <c r="N82" s="3">
        <v>147</v>
      </c>
      <c r="O82" s="3">
        <v>141</v>
      </c>
      <c r="P82" s="3">
        <v>114</v>
      </c>
      <c r="Q82" s="3">
        <v>143</v>
      </c>
    </row>
    <row r="83" spans="2:17" x14ac:dyDescent="0.25">
      <c r="B83" s="5"/>
      <c r="C83" s="1" t="s">
        <v>5</v>
      </c>
      <c r="D83" s="3">
        <v>73</v>
      </c>
      <c r="E83" s="3">
        <v>81</v>
      </c>
      <c r="F83" s="3">
        <v>38</v>
      </c>
      <c r="G83" s="3">
        <v>84</v>
      </c>
      <c r="H83" s="3">
        <v>79</v>
      </c>
      <c r="I83" s="3">
        <v>109</v>
      </c>
      <c r="J83" s="3">
        <v>98</v>
      </c>
      <c r="K83" s="3">
        <v>93</v>
      </c>
      <c r="L83" s="3">
        <v>111</v>
      </c>
      <c r="M83" s="3">
        <v>76</v>
      </c>
      <c r="N83" s="3">
        <v>87</v>
      </c>
      <c r="O83" s="3">
        <v>83</v>
      </c>
      <c r="P83" s="3">
        <v>71</v>
      </c>
      <c r="Q83" s="3">
        <v>92</v>
      </c>
    </row>
    <row r="84" spans="2:17" x14ac:dyDescent="0.25">
      <c r="B84" s="5"/>
      <c r="C84" s="1" t="s">
        <v>6</v>
      </c>
      <c r="D84" s="3">
        <v>38</v>
      </c>
      <c r="E84" s="3">
        <v>32</v>
      </c>
      <c r="F84" s="3">
        <v>42</v>
      </c>
      <c r="G84" s="3">
        <v>53</v>
      </c>
      <c r="H84" s="3">
        <v>45</v>
      </c>
      <c r="I84" s="3">
        <v>39</v>
      </c>
      <c r="J84" s="3">
        <v>43</v>
      </c>
      <c r="K84" s="3">
        <v>53</v>
      </c>
      <c r="L84" s="3">
        <v>50</v>
      </c>
      <c r="M84" s="3">
        <v>30</v>
      </c>
      <c r="N84" s="3">
        <v>45</v>
      </c>
      <c r="O84" s="3">
        <v>45</v>
      </c>
      <c r="P84" s="3">
        <v>39</v>
      </c>
      <c r="Q84" s="3">
        <v>46</v>
      </c>
    </row>
    <row r="85" spans="2:17" x14ac:dyDescent="0.25">
      <c r="B85" s="5"/>
      <c r="C85" s="1" t="s">
        <v>7</v>
      </c>
      <c r="D85" s="3">
        <v>1</v>
      </c>
      <c r="E85" s="3">
        <v>1</v>
      </c>
      <c r="F85" s="3">
        <v>3</v>
      </c>
      <c r="G85" s="3">
        <v>4</v>
      </c>
      <c r="H85" s="3">
        <v>3</v>
      </c>
      <c r="I85" s="3">
        <v>1</v>
      </c>
      <c r="J85" s="3">
        <v>4</v>
      </c>
      <c r="K85" s="3">
        <v>3</v>
      </c>
      <c r="L85" s="3">
        <v>3</v>
      </c>
      <c r="M85" s="3">
        <v>4</v>
      </c>
      <c r="N85" s="3">
        <v>3</v>
      </c>
      <c r="O85" s="3">
        <v>6</v>
      </c>
      <c r="P85" s="3">
        <v>4</v>
      </c>
      <c r="Q85" s="3">
        <v>5</v>
      </c>
    </row>
    <row r="86" spans="2:17" x14ac:dyDescent="0.25">
      <c r="B86" s="6"/>
      <c r="C86" s="1" t="s">
        <v>8</v>
      </c>
      <c r="D86" s="3">
        <f t="shared" ref="D86:Q86" si="55">SUM(D82:D85)</f>
        <v>200</v>
      </c>
      <c r="E86" s="3">
        <f t="shared" si="55"/>
        <v>206</v>
      </c>
      <c r="F86" s="3">
        <f t="shared" si="55"/>
        <v>137</v>
      </c>
      <c r="G86" s="3">
        <f t="shared" si="55"/>
        <v>228</v>
      </c>
      <c r="H86" s="3">
        <f t="shared" si="55"/>
        <v>223</v>
      </c>
      <c r="I86" s="3">
        <f t="shared" si="55"/>
        <v>269</v>
      </c>
      <c r="J86" s="3">
        <f t="shared" si="55"/>
        <v>268</v>
      </c>
      <c r="K86" s="3">
        <f t="shared" si="55"/>
        <v>276</v>
      </c>
      <c r="L86" s="3">
        <f t="shared" si="55"/>
        <v>304</v>
      </c>
      <c r="M86" s="3">
        <f t="shared" si="55"/>
        <v>208</v>
      </c>
      <c r="N86" s="3">
        <f t="shared" si="55"/>
        <v>282</v>
      </c>
      <c r="O86" s="3">
        <f t="shared" si="55"/>
        <v>275</v>
      </c>
      <c r="P86" s="3">
        <f t="shared" si="55"/>
        <v>228</v>
      </c>
      <c r="Q86" s="3">
        <f t="shared" si="55"/>
        <v>286</v>
      </c>
    </row>
    <row r="87" spans="2:17" x14ac:dyDescent="0.25">
      <c r="B87" s="4" t="s">
        <v>11</v>
      </c>
      <c r="C87" s="1" t="s">
        <v>4</v>
      </c>
      <c r="D87" s="3">
        <v>13</v>
      </c>
      <c r="E87" s="3">
        <v>14</v>
      </c>
      <c r="F87" s="3">
        <v>9</v>
      </c>
      <c r="G87" s="3">
        <v>10</v>
      </c>
      <c r="H87" s="3">
        <v>8</v>
      </c>
      <c r="I87" s="3">
        <v>12</v>
      </c>
      <c r="J87" s="3">
        <v>7</v>
      </c>
      <c r="K87" s="3">
        <v>7</v>
      </c>
      <c r="L87" s="3">
        <v>14</v>
      </c>
      <c r="M87" s="3">
        <v>16</v>
      </c>
      <c r="N87" s="3">
        <v>17</v>
      </c>
      <c r="O87" s="3">
        <v>23</v>
      </c>
      <c r="P87" s="3">
        <v>15</v>
      </c>
      <c r="Q87" s="3">
        <v>16</v>
      </c>
    </row>
    <row r="88" spans="2:17" x14ac:dyDescent="0.25">
      <c r="B88" s="5"/>
      <c r="C88" s="1" t="s">
        <v>5</v>
      </c>
      <c r="D88" s="3">
        <v>16</v>
      </c>
      <c r="E88" s="3">
        <v>15</v>
      </c>
      <c r="F88" s="3">
        <v>21</v>
      </c>
      <c r="G88" s="3">
        <v>18</v>
      </c>
      <c r="H88" s="3">
        <v>24</v>
      </c>
      <c r="I88" s="3">
        <v>18</v>
      </c>
      <c r="J88" s="3">
        <v>15</v>
      </c>
      <c r="K88" s="3">
        <v>16</v>
      </c>
      <c r="L88" s="3">
        <v>19</v>
      </c>
      <c r="M88" s="3">
        <v>12</v>
      </c>
      <c r="N88" s="3">
        <v>15</v>
      </c>
      <c r="O88" s="3">
        <v>17</v>
      </c>
      <c r="P88" s="3">
        <v>20</v>
      </c>
      <c r="Q88" s="3">
        <v>23</v>
      </c>
    </row>
    <row r="89" spans="2:17" x14ac:dyDescent="0.25">
      <c r="B89" s="5"/>
      <c r="C89" s="1" t="s">
        <v>6</v>
      </c>
      <c r="D89" s="3">
        <v>2</v>
      </c>
      <c r="E89" s="3">
        <v>1</v>
      </c>
      <c r="F89" s="3">
        <v>4</v>
      </c>
      <c r="G89" s="3">
        <v>2</v>
      </c>
      <c r="H89" s="3">
        <v>4</v>
      </c>
      <c r="I89" s="3">
        <v>4</v>
      </c>
      <c r="J89" s="3">
        <v>2</v>
      </c>
      <c r="K89" s="3">
        <v>4</v>
      </c>
      <c r="L89" s="3">
        <v>1</v>
      </c>
      <c r="M89" s="3">
        <v>1</v>
      </c>
      <c r="N89" s="3">
        <v>1</v>
      </c>
      <c r="O89" s="3">
        <v>2</v>
      </c>
      <c r="P89" s="3">
        <v>1</v>
      </c>
      <c r="Q89" s="3">
        <v>3</v>
      </c>
    </row>
    <row r="90" spans="2:17" x14ac:dyDescent="0.25">
      <c r="B90" s="5"/>
      <c r="C90" s="1" t="s">
        <v>7</v>
      </c>
      <c r="D90" s="3">
        <v>2</v>
      </c>
      <c r="E90" s="3">
        <v>1</v>
      </c>
      <c r="F90" s="3"/>
      <c r="G90" s="3"/>
      <c r="H90" s="3"/>
      <c r="I90" s="3"/>
      <c r="J90" s="3"/>
      <c r="K90" s="3"/>
      <c r="L90" s="3"/>
      <c r="M90" s="3">
        <v>1</v>
      </c>
      <c r="N90" s="3"/>
      <c r="O90" s="3"/>
      <c r="P90" s="3"/>
      <c r="Q90" s="3"/>
    </row>
    <row r="91" spans="2:17" x14ac:dyDescent="0.25">
      <c r="B91" s="6"/>
      <c r="C91" s="1" t="s">
        <v>8</v>
      </c>
      <c r="D91" s="3">
        <f t="shared" ref="D91:Q91" si="56">SUM(D87:D90)</f>
        <v>33</v>
      </c>
      <c r="E91" s="3">
        <f t="shared" si="56"/>
        <v>31</v>
      </c>
      <c r="F91" s="3">
        <f t="shared" si="56"/>
        <v>34</v>
      </c>
      <c r="G91" s="3">
        <f t="shared" si="56"/>
        <v>30</v>
      </c>
      <c r="H91" s="3">
        <f t="shared" si="56"/>
        <v>36</v>
      </c>
      <c r="I91" s="3">
        <f t="shared" si="56"/>
        <v>34</v>
      </c>
      <c r="J91" s="3">
        <f t="shared" si="56"/>
        <v>24</v>
      </c>
      <c r="K91" s="3">
        <f t="shared" si="56"/>
        <v>27</v>
      </c>
      <c r="L91" s="3">
        <f t="shared" si="56"/>
        <v>34</v>
      </c>
      <c r="M91" s="3">
        <f t="shared" si="56"/>
        <v>30</v>
      </c>
      <c r="N91" s="3">
        <f t="shared" si="56"/>
        <v>33</v>
      </c>
      <c r="O91" s="3">
        <f t="shared" si="56"/>
        <v>42</v>
      </c>
      <c r="P91" s="3">
        <f t="shared" si="56"/>
        <v>36</v>
      </c>
      <c r="Q91" s="3">
        <f t="shared" si="56"/>
        <v>42</v>
      </c>
    </row>
    <row r="92" spans="2:17" x14ac:dyDescent="0.25">
      <c r="B92" s="4" t="s">
        <v>8</v>
      </c>
      <c r="C92" s="1" t="s">
        <v>4</v>
      </c>
      <c r="D92" s="3">
        <f>SUM(D72,D77,D82,D87)</f>
        <v>2184</v>
      </c>
      <c r="E92" s="3">
        <f t="shared" ref="E92:Q92" si="57">SUM(E72,E77,E82,E87)</f>
        <v>2156</v>
      </c>
      <c r="F92" s="3">
        <f t="shared" si="57"/>
        <v>1581</v>
      </c>
      <c r="G92" s="3">
        <f t="shared" si="57"/>
        <v>2205</v>
      </c>
      <c r="H92" s="3">
        <f t="shared" si="57"/>
        <v>2112</v>
      </c>
      <c r="I92" s="3">
        <f t="shared" si="57"/>
        <v>2495</v>
      </c>
      <c r="J92" s="3">
        <f t="shared" si="57"/>
        <v>2565</v>
      </c>
      <c r="K92" s="3">
        <f t="shared" si="57"/>
        <v>2408</v>
      </c>
      <c r="L92" s="3">
        <f t="shared" si="57"/>
        <v>2519</v>
      </c>
      <c r="M92" s="3">
        <f t="shared" si="57"/>
        <v>1764</v>
      </c>
      <c r="N92" s="3">
        <f t="shared" si="57"/>
        <v>2296</v>
      </c>
      <c r="O92" s="3">
        <f t="shared" si="57"/>
        <v>2344</v>
      </c>
      <c r="P92" s="3">
        <f t="shared" si="57"/>
        <v>2303</v>
      </c>
      <c r="Q92" s="3">
        <f t="shared" si="57"/>
        <v>2282</v>
      </c>
    </row>
    <row r="93" spans="2:17" x14ac:dyDescent="0.25">
      <c r="B93" s="5"/>
      <c r="C93" s="1" t="s">
        <v>5</v>
      </c>
      <c r="D93" s="3">
        <f t="shared" ref="D93:Q95" si="58">SUM(D73,D78,D83,D88)</f>
        <v>808</v>
      </c>
      <c r="E93" s="3">
        <f t="shared" si="58"/>
        <v>913</v>
      </c>
      <c r="F93" s="3">
        <f t="shared" si="58"/>
        <v>507</v>
      </c>
      <c r="G93" s="3">
        <f t="shared" si="58"/>
        <v>827</v>
      </c>
      <c r="H93" s="3">
        <f t="shared" si="58"/>
        <v>726</v>
      </c>
      <c r="I93" s="3">
        <f t="shared" si="58"/>
        <v>842</v>
      </c>
      <c r="J93" s="3">
        <f t="shared" si="58"/>
        <v>822</v>
      </c>
      <c r="K93" s="3">
        <f t="shared" si="58"/>
        <v>808</v>
      </c>
      <c r="L93" s="3">
        <f t="shared" si="58"/>
        <v>798</v>
      </c>
      <c r="M93" s="3">
        <f t="shared" si="58"/>
        <v>497</v>
      </c>
      <c r="N93" s="3">
        <f t="shared" si="58"/>
        <v>538</v>
      </c>
      <c r="O93" s="3">
        <f t="shared" si="58"/>
        <v>555</v>
      </c>
      <c r="P93" s="3">
        <f t="shared" si="58"/>
        <v>574</v>
      </c>
      <c r="Q93" s="3">
        <f t="shared" si="58"/>
        <v>617</v>
      </c>
    </row>
    <row r="94" spans="2:17" x14ac:dyDescent="0.25">
      <c r="B94" s="5"/>
      <c r="C94" s="1" t="s">
        <v>6</v>
      </c>
      <c r="D94" s="3">
        <f t="shared" si="58"/>
        <v>602</v>
      </c>
      <c r="E94" s="3">
        <f t="shared" si="58"/>
        <v>612</v>
      </c>
      <c r="F94" s="3">
        <f t="shared" si="58"/>
        <v>425</v>
      </c>
      <c r="G94" s="3">
        <f t="shared" si="58"/>
        <v>623</v>
      </c>
      <c r="H94" s="3">
        <f t="shared" si="58"/>
        <v>548</v>
      </c>
      <c r="I94" s="3">
        <f t="shared" si="58"/>
        <v>537</v>
      </c>
      <c r="J94" s="3">
        <f t="shared" si="58"/>
        <v>527</v>
      </c>
      <c r="K94" s="3">
        <f t="shared" si="58"/>
        <v>552</v>
      </c>
      <c r="L94" s="3">
        <f t="shared" si="58"/>
        <v>523</v>
      </c>
      <c r="M94" s="3">
        <f t="shared" si="58"/>
        <v>352</v>
      </c>
      <c r="N94" s="3">
        <f t="shared" si="58"/>
        <v>386</v>
      </c>
      <c r="O94" s="3">
        <f t="shared" si="58"/>
        <v>365</v>
      </c>
      <c r="P94" s="3">
        <f t="shared" si="58"/>
        <v>367</v>
      </c>
      <c r="Q94" s="3">
        <f t="shared" si="58"/>
        <v>425</v>
      </c>
    </row>
    <row r="95" spans="2:17" x14ac:dyDescent="0.25">
      <c r="B95" s="5"/>
      <c r="C95" s="1" t="s">
        <v>7</v>
      </c>
      <c r="D95" s="3">
        <f t="shared" si="58"/>
        <v>28</v>
      </c>
      <c r="E95" s="3">
        <f t="shared" si="58"/>
        <v>37</v>
      </c>
      <c r="F95" s="3">
        <f t="shared" si="58"/>
        <v>27</v>
      </c>
      <c r="G95" s="3">
        <f t="shared" si="58"/>
        <v>26</v>
      </c>
      <c r="H95" s="3">
        <f t="shared" si="58"/>
        <v>23</v>
      </c>
      <c r="I95" s="3">
        <f t="shared" si="58"/>
        <v>22</v>
      </c>
      <c r="J95" s="3">
        <f t="shared" si="58"/>
        <v>31</v>
      </c>
      <c r="K95" s="3">
        <f t="shared" si="58"/>
        <v>28</v>
      </c>
      <c r="L95" s="3">
        <f t="shared" si="58"/>
        <v>28</v>
      </c>
      <c r="M95" s="3">
        <f t="shared" si="58"/>
        <v>21</v>
      </c>
      <c r="N95" s="3">
        <f t="shared" si="58"/>
        <v>19</v>
      </c>
      <c r="O95" s="3">
        <f t="shared" si="58"/>
        <v>19</v>
      </c>
      <c r="P95" s="3">
        <f t="shared" si="58"/>
        <v>15</v>
      </c>
      <c r="Q95" s="3">
        <f t="shared" si="58"/>
        <v>25</v>
      </c>
    </row>
    <row r="96" spans="2:17" x14ac:dyDescent="0.25">
      <c r="B96" s="6"/>
      <c r="C96" s="1" t="s">
        <v>8</v>
      </c>
      <c r="D96" s="3">
        <f t="shared" ref="D96:Q96" si="59">SUM(D92:D95)</f>
        <v>3622</v>
      </c>
      <c r="E96" s="3">
        <f t="shared" si="59"/>
        <v>3718</v>
      </c>
      <c r="F96" s="3">
        <f t="shared" si="59"/>
        <v>2540</v>
      </c>
      <c r="G96" s="3">
        <f t="shared" si="59"/>
        <v>3681</v>
      </c>
      <c r="H96" s="3">
        <f t="shared" si="59"/>
        <v>3409</v>
      </c>
      <c r="I96" s="3">
        <f t="shared" si="59"/>
        <v>3896</v>
      </c>
      <c r="J96" s="3">
        <f t="shared" si="59"/>
        <v>3945</v>
      </c>
      <c r="K96" s="3">
        <f t="shared" si="59"/>
        <v>3796</v>
      </c>
      <c r="L96" s="3">
        <f t="shared" si="59"/>
        <v>3868</v>
      </c>
      <c r="M96" s="3">
        <f t="shared" si="59"/>
        <v>2634</v>
      </c>
      <c r="N96" s="3">
        <f t="shared" si="59"/>
        <v>3239</v>
      </c>
      <c r="O96" s="3">
        <f t="shared" si="59"/>
        <v>3283</v>
      </c>
      <c r="P96" s="3">
        <f t="shared" si="59"/>
        <v>3259</v>
      </c>
      <c r="Q96" s="3">
        <f t="shared" si="59"/>
        <v>3349</v>
      </c>
    </row>
    <row r="115" spans="3:17" x14ac:dyDescent="0.25">
      <c r="C115" s="2" t="s">
        <v>23</v>
      </c>
    </row>
    <row r="116" spans="3:17" x14ac:dyDescent="0.25">
      <c r="D116" s="7">
        <v>2011</v>
      </c>
      <c r="E116" s="7">
        <v>2012</v>
      </c>
      <c r="F116" s="7">
        <v>2013</v>
      </c>
      <c r="G116" s="7">
        <v>2014</v>
      </c>
      <c r="H116" s="7">
        <v>2015</v>
      </c>
      <c r="I116" s="7">
        <v>2016</v>
      </c>
      <c r="J116" s="7">
        <v>2017</v>
      </c>
      <c r="K116" s="7">
        <v>2018</v>
      </c>
      <c r="L116" s="7">
        <v>2019</v>
      </c>
      <c r="M116" s="7">
        <v>2020</v>
      </c>
      <c r="N116" s="7">
        <v>2021</v>
      </c>
      <c r="O116" s="7">
        <v>2022</v>
      </c>
      <c r="P116" s="7">
        <v>2023</v>
      </c>
      <c r="Q116" s="7">
        <v>2024</v>
      </c>
    </row>
    <row r="117" spans="3:17" x14ac:dyDescent="0.25">
      <c r="C117" s="1" t="s">
        <v>13</v>
      </c>
      <c r="D117" s="3">
        <f>D171+D176+D181</f>
        <v>3155</v>
      </c>
      <c r="E117" s="3">
        <f>E171+E176+E181</f>
        <v>3065</v>
      </c>
      <c r="F117" s="3">
        <f>F171+F176+F181</f>
        <v>2272</v>
      </c>
      <c r="G117" s="3">
        <f>G171+G176+G181</f>
        <v>3191</v>
      </c>
      <c r="H117" s="3">
        <f>H171+H176+H181</f>
        <v>2966</v>
      </c>
      <c r="I117" s="3">
        <f>I171+I176+I181</f>
        <v>3549</v>
      </c>
      <c r="J117" s="3">
        <f>J171+J176+J181</f>
        <v>3628</v>
      </c>
      <c r="K117" s="3">
        <f>K171+K176+K181</f>
        <v>3444</v>
      </c>
      <c r="L117" s="3">
        <f>L171+L176+L181</f>
        <v>3540</v>
      </c>
      <c r="M117" s="3">
        <f>M171+M176+M181</f>
        <v>2401</v>
      </c>
      <c r="N117" s="3">
        <f>N171+N176+N181</f>
        <v>3107</v>
      </c>
      <c r="O117" s="3">
        <f>O171+O176+O181</f>
        <v>3203</v>
      </c>
      <c r="P117" s="3">
        <f>P171+P176+P181</f>
        <v>3146</v>
      </c>
      <c r="Q117" s="3">
        <f>Q171+Q176+Q181</f>
        <v>3065</v>
      </c>
    </row>
    <row r="118" spans="3:17" x14ac:dyDescent="0.25">
      <c r="C118" s="1" t="s">
        <v>5</v>
      </c>
      <c r="D118" s="3">
        <f>D172+D177+D182</f>
        <v>862</v>
      </c>
      <c r="E118" s="3">
        <f>E172+E177+E182</f>
        <v>986</v>
      </c>
      <c r="F118" s="3">
        <f>F172+F177+F182</f>
        <v>557</v>
      </c>
      <c r="G118" s="3">
        <f>G172+G177+G182</f>
        <v>879</v>
      </c>
      <c r="H118" s="3">
        <f>H172+H177+H182</f>
        <v>782</v>
      </c>
      <c r="I118" s="3">
        <f>I172+I177+I182</f>
        <v>893</v>
      </c>
      <c r="J118" s="3">
        <f>J172+J177+J182</f>
        <v>874</v>
      </c>
      <c r="K118" s="3">
        <f>K172+K177+K182</f>
        <v>852</v>
      </c>
      <c r="L118" s="3">
        <f>L172+L177+L182</f>
        <v>850</v>
      </c>
      <c r="M118" s="3">
        <f>M172+M177+M182</f>
        <v>523</v>
      </c>
      <c r="N118" s="3">
        <f>N172+N177+N182</f>
        <v>581</v>
      </c>
      <c r="O118" s="3">
        <f>O172+O177+O182</f>
        <v>604</v>
      </c>
      <c r="P118" s="3">
        <f>P172+P177+P182</f>
        <v>628</v>
      </c>
      <c r="Q118" s="3">
        <f>Q172+Q177+Q182</f>
        <v>669</v>
      </c>
    </row>
    <row r="119" spans="3:17" x14ac:dyDescent="0.25">
      <c r="C119" s="1" t="s">
        <v>6</v>
      </c>
      <c r="D119" s="3">
        <f>D173+D178+D183</f>
        <v>612</v>
      </c>
      <c r="E119" s="3">
        <f>E173+E178+E183</f>
        <v>624</v>
      </c>
      <c r="F119" s="3">
        <f>F173+F178+F183</f>
        <v>435</v>
      </c>
      <c r="G119" s="3">
        <f>G173+G178+G183</f>
        <v>635</v>
      </c>
      <c r="H119" s="3">
        <f>H173+H178+H183</f>
        <v>555</v>
      </c>
      <c r="I119" s="3">
        <f>I173+I178+I183</f>
        <v>552</v>
      </c>
      <c r="J119" s="3">
        <f>J173+J178+J183</f>
        <v>538</v>
      </c>
      <c r="K119" s="3">
        <f>K173+K178+K183</f>
        <v>554</v>
      </c>
      <c r="L119" s="3">
        <f>L173+L178+L183</f>
        <v>533</v>
      </c>
      <c r="M119" s="3">
        <f>M173+M178+M183</f>
        <v>360</v>
      </c>
      <c r="N119" s="3">
        <f>N173+N178+N183</f>
        <v>394</v>
      </c>
      <c r="O119" s="3">
        <f>O173+O178+O183</f>
        <v>367</v>
      </c>
      <c r="P119" s="3">
        <f>P173+P178+P183</f>
        <v>366</v>
      </c>
      <c r="Q119" s="3">
        <f>Q173+Q178+Q183</f>
        <v>421</v>
      </c>
    </row>
    <row r="120" spans="3:17" x14ac:dyDescent="0.25">
      <c r="C120" s="1" t="s">
        <v>15</v>
      </c>
      <c r="D120" s="3">
        <f>D174+D179+D184</f>
        <v>14</v>
      </c>
      <c r="E120" s="3">
        <f>E174+E179+E184</f>
        <v>18</v>
      </c>
      <c r="F120" s="3">
        <f>F174+F179+F184</f>
        <v>13</v>
      </c>
      <c r="G120" s="3">
        <f>G174+G179+G184</f>
        <v>28</v>
      </c>
      <c r="H120" s="3">
        <f>H174+H179+H184</f>
        <v>32</v>
      </c>
      <c r="I120" s="3">
        <f>I174+I179+I184</f>
        <v>34</v>
      </c>
      <c r="J120" s="3">
        <f>J174+J179+J184</f>
        <v>43</v>
      </c>
      <c r="K120" s="3">
        <f>K174+K179+K184</f>
        <v>49</v>
      </c>
      <c r="L120" s="3">
        <f>L174+L179+L184</f>
        <v>114</v>
      </c>
      <c r="M120" s="3">
        <f>M174+M179+M184</f>
        <v>75</v>
      </c>
      <c r="N120" s="3">
        <f>N174+N179+N184</f>
        <v>150</v>
      </c>
      <c r="O120" s="3">
        <f>O174+O179+O184</f>
        <v>181</v>
      </c>
      <c r="P120" s="3">
        <f>P174+P179+P184</f>
        <v>120</v>
      </c>
      <c r="Q120" s="3">
        <f>Q174+Q179+Q184</f>
        <v>105</v>
      </c>
    </row>
    <row r="121" spans="3:17" x14ac:dyDescent="0.25">
      <c r="C121" s="1" t="s">
        <v>8</v>
      </c>
      <c r="D121" s="3">
        <f>SUM(D117:D120)</f>
        <v>4643</v>
      </c>
      <c r="E121" s="3">
        <f t="shared" ref="E121" si="60">SUM(E117:E120)</f>
        <v>4693</v>
      </c>
      <c r="F121" s="3">
        <f t="shared" ref="F121" si="61">SUM(F117:F120)</f>
        <v>3277</v>
      </c>
      <c r="G121" s="3">
        <f t="shared" ref="G121" si="62">SUM(G117:G120)</f>
        <v>4733</v>
      </c>
      <c r="H121" s="3">
        <f t="shared" ref="H121" si="63">SUM(H117:H120)</f>
        <v>4335</v>
      </c>
      <c r="I121" s="3">
        <f t="shared" ref="I121" si="64">SUM(I117:I120)</f>
        <v>5028</v>
      </c>
      <c r="J121" s="3">
        <f t="shared" ref="J121" si="65">SUM(J117:J120)</f>
        <v>5083</v>
      </c>
      <c r="K121" s="3">
        <f t="shared" ref="K121" si="66">SUM(K117:K120)</f>
        <v>4899</v>
      </c>
      <c r="L121" s="3">
        <f t="shared" ref="L121" si="67">SUM(L117:L120)</f>
        <v>5037</v>
      </c>
      <c r="M121" s="3">
        <f t="shared" ref="M121" si="68">SUM(M117:M120)</f>
        <v>3359</v>
      </c>
      <c r="N121" s="3">
        <f t="shared" ref="N121" si="69">SUM(N117:N120)</f>
        <v>4232</v>
      </c>
      <c r="O121" s="3">
        <f t="shared" ref="O121" si="70">SUM(O117:O120)</f>
        <v>4355</v>
      </c>
      <c r="P121" s="3">
        <f t="shared" ref="P121" si="71">SUM(P117:P120)</f>
        <v>4260</v>
      </c>
      <c r="Q121" s="3">
        <f t="shared" ref="Q121" si="72">SUM(Q117:Q120)</f>
        <v>4260</v>
      </c>
    </row>
    <row r="122" spans="3:17" x14ac:dyDescent="0.25">
      <c r="C122" s="8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3:17" x14ac:dyDescent="0.25">
      <c r="C123" s="2" t="s">
        <v>18</v>
      </c>
    </row>
    <row r="124" spans="3:17" x14ac:dyDescent="0.25">
      <c r="D124" s="7">
        <v>2011</v>
      </c>
      <c r="E124" s="7">
        <v>2012</v>
      </c>
      <c r="F124" s="7">
        <v>2013</v>
      </c>
      <c r="G124" s="7">
        <v>2014</v>
      </c>
      <c r="H124" s="7">
        <v>2015</v>
      </c>
      <c r="I124" s="7">
        <v>2016</v>
      </c>
      <c r="J124" s="7">
        <v>2017</v>
      </c>
      <c r="K124" s="7">
        <v>2018</v>
      </c>
      <c r="L124" s="7">
        <v>2019</v>
      </c>
      <c r="M124" s="7">
        <v>2020</v>
      </c>
      <c r="N124" s="7">
        <v>2021</v>
      </c>
      <c r="O124" s="7">
        <v>2022</v>
      </c>
      <c r="P124" s="7">
        <v>2023</v>
      </c>
      <c r="Q124" s="7">
        <v>2024</v>
      </c>
    </row>
    <row r="125" spans="3:17" x14ac:dyDescent="0.25">
      <c r="C125" s="1" t="s">
        <v>13</v>
      </c>
      <c r="D125" s="3">
        <f>D171+D176</f>
        <v>3142</v>
      </c>
      <c r="E125" s="3">
        <f t="shared" ref="E125:Q125" si="73">E171+E176</f>
        <v>3051</v>
      </c>
      <c r="F125" s="3">
        <f t="shared" si="73"/>
        <v>2262</v>
      </c>
      <c r="G125" s="3">
        <f t="shared" si="73"/>
        <v>3180</v>
      </c>
      <c r="H125" s="3">
        <f t="shared" si="73"/>
        <v>2957</v>
      </c>
      <c r="I125" s="3">
        <f t="shared" si="73"/>
        <v>3535</v>
      </c>
      <c r="J125" s="3">
        <f t="shared" si="73"/>
        <v>3621</v>
      </c>
      <c r="K125" s="3">
        <f t="shared" si="73"/>
        <v>3437</v>
      </c>
      <c r="L125" s="3">
        <f t="shared" si="73"/>
        <v>3521</v>
      </c>
      <c r="M125" s="3">
        <f t="shared" si="73"/>
        <v>2386</v>
      </c>
      <c r="N125" s="3">
        <f t="shared" si="73"/>
        <v>3090</v>
      </c>
      <c r="O125" s="3">
        <f t="shared" si="73"/>
        <v>3183</v>
      </c>
      <c r="P125" s="3">
        <f t="shared" si="73"/>
        <v>3131</v>
      </c>
      <c r="Q125" s="3">
        <f t="shared" si="73"/>
        <v>3046</v>
      </c>
    </row>
    <row r="126" spans="3:17" x14ac:dyDescent="0.25">
      <c r="C126" s="1" t="s">
        <v>5</v>
      </c>
      <c r="D126" s="3">
        <f t="shared" ref="D126:Q128" si="74">D172+D177</f>
        <v>845</v>
      </c>
      <c r="E126" s="3">
        <f t="shared" si="74"/>
        <v>970</v>
      </c>
      <c r="F126" s="3">
        <f t="shared" si="74"/>
        <v>536</v>
      </c>
      <c r="G126" s="3">
        <f t="shared" si="74"/>
        <v>861</v>
      </c>
      <c r="H126" s="3">
        <f t="shared" si="74"/>
        <v>759</v>
      </c>
      <c r="I126" s="3">
        <f t="shared" si="74"/>
        <v>875</v>
      </c>
      <c r="J126" s="3">
        <f t="shared" si="74"/>
        <v>859</v>
      </c>
      <c r="K126" s="3">
        <f t="shared" si="74"/>
        <v>836</v>
      </c>
      <c r="L126" s="3">
        <f t="shared" si="74"/>
        <v>831</v>
      </c>
      <c r="M126" s="3">
        <f t="shared" si="74"/>
        <v>510</v>
      </c>
      <c r="N126" s="3">
        <f t="shared" si="74"/>
        <v>566</v>
      </c>
      <c r="O126" s="3">
        <f t="shared" si="74"/>
        <v>586</v>
      </c>
      <c r="P126" s="3">
        <f t="shared" si="74"/>
        <v>608</v>
      </c>
      <c r="Q126" s="3">
        <f t="shared" si="74"/>
        <v>643</v>
      </c>
    </row>
    <row r="127" spans="3:17" x14ac:dyDescent="0.25">
      <c r="C127" s="1" t="s">
        <v>6</v>
      </c>
      <c r="D127" s="3">
        <f t="shared" si="74"/>
        <v>609</v>
      </c>
      <c r="E127" s="3">
        <f t="shared" si="74"/>
        <v>623</v>
      </c>
      <c r="F127" s="3">
        <f t="shared" si="74"/>
        <v>431</v>
      </c>
      <c r="G127" s="3">
        <f t="shared" si="74"/>
        <v>633</v>
      </c>
      <c r="H127" s="3">
        <f t="shared" si="74"/>
        <v>551</v>
      </c>
      <c r="I127" s="3">
        <f t="shared" si="74"/>
        <v>548</v>
      </c>
      <c r="J127" s="3">
        <f t="shared" si="74"/>
        <v>536</v>
      </c>
      <c r="K127" s="3">
        <f t="shared" si="74"/>
        <v>550</v>
      </c>
      <c r="L127" s="3">
        <f t="shared" si="74"/>
        <v>532</v>
      </c>
      <c r="M127" s="3">
        <f t="shared" si="74"/>
        <v>358</v>
      </c>
      <c r="N127" s="3">
        <f t="shared" si="74"/>
        <v>393</v>
      </c>
      <c r="O127" s="3">
        <f t="shared" si="74"/>
        <v>365</v>
      </c>
      <c r="P127" s="3">
        <f t="shared" si="74"/>
        <v>365</v>
      </c>
      <c r="Q127" s="3">
        <f t="shared" si="74"/>
        <v>418</v>
      </c>
    </row>
    <row r="128" spans="3:17" x14ac:dyDescent="0.25">
      <c r="C128" s="1" t="s">
        <v>15</v>
      </c>
      <c r="D128" s="3">
        <f t="shared" si="74"/>
        <v>14</v>
      </c>
      <c r="E128" s="3">
        <f t="shared" si="74"/>
        <v>18</v>
      </c>
      <c r="F128" s="3">
        <f t="shared" si="74"/>
        <v>13</v>
      </c>
      <c r="G128" s="3">
        <f t="shared" si="74"/>
        <v>28</v>
      </c>
      <c r="H128" s="3">
        <f t="shared" si="74"/>
        <v>32</v>
      </c>
      <c r="I128" s="3">
        <f t="shared" si="74"/>
        <v>34</v>
      </c>
      <c r="J128" s="3">
        <f t="shared" si="74"/>
        <v>43</v>
      </c>
      <c r="K128" s="3">
        <f t="shared" si="74"/>
        <v>49</v>
      </c>
      <c r="L128" s="3">
        <f t="shared" si="74"/>
        <v>114</v>
      </c>
      <c r="M128" s="3">
        <f t="shared" si="74"/>
        <v>73</v>
      </c>
      <c r="N128" s="3">
        <f t="shared" si="74"/>
        <v>149</v>
      </c>
      <c r="O128" s="3">
        <f t="shared" si="74"/>
        <v>178</v>
      </c>
      <c r="P128" s="3">
        <f t="shared" si="74"/>
        <v>119</v>
      </c>
      <c r="Q128" s="3">
        <f t="shared" si="74"/>
        <v>105</v>
      </c>
    </row>
    <row r="129" spans="3:17" x14ac:dyDescent="0.25">
      <c r="C129" s="1" t="s">
        <v>8</v>
      </c>
      <c r="D129" s="3">
        <f>SUM(D125:D128)</f>
        <v>4610</v>
      </c>
      <c r="E129" s="3">
        <f t="shared" ref="E129" si="75">SUM(E125:E128)</f>
        <v>4662</v>
      </c>
      <c r="F129" s="3">
        <f t="shared" ref="F129" si="76">SUM(F125:F128)</f>
        <v>3242</v>
      </c>
      <c r="G129" s="3">
        <f t="shared" ref="G129" si="77">SUM(G125:G128)</f>
        <v>4702</v>
      </c>
      <c r="H129" s="3">
        <f t="shared" ref="H129" si="78">SUM(H125:H128)</f>
        <v>4299</v>
      </c>
      <c r="I129" s="3">
        <f t="shared" ref="I129" si="79">SUM(I125:I128)</f>
        <v>4992</v>
      </c>
      <c r="J129" s="3">
        <f t="shared" ref="J129" si="80">SUM(J125:J128)</f>
        <v>5059</v>
      </c>
      <c r="K129" s="3">
        <f t="shared" ref="K129" si="81">SUM(K125:K128)</f>
        <v>4872</v>
      </c>
      <c r="L129" s="3">
        <f t="shared" ref="L129" si="82">SUM(L125:L128)</f>
        <v>4998</v>
      </c>
      <c r="M129" s="3">
        <f t="shared" ref="M129" si="83">SUM(M125:M128)</f>
        <v>3327</v>
      </c>
      <c r="N129" s="3">
        <f t="shared" ref="N129" si="84">SUM(N125:N128)</f>
        <v>4198</v>
      </c>
      <c r="O129" s="3">
        <f t="shared" ref="O129" si="85">SUM(O125:O128)</f>
        <v>4312</v>
      </c>
      <c r="P129" s="3">
        <f t="shared" ref="P129" si="86">SUM(P125:P128)</f>
        <v>4223</v>
      </c>
      <c r="Q129" s="3">
        <f t="shared" ref="Q129" si="87">SUM(Q125:Q128)</f>
        <v>4212</v>
      </c>
    </row>
    <row r="130" spans="3:17" x14ac:dyDescent="0.25">
      <c r="C130" s="8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3:17" x14ac:dyDescent="0.25">
      <c r="C131" s="2" t="s">
        <v>24</v>
      </c>
    </row>
    <row r="132" spans="3:17" x14ac:dyDescent="0.25">
      <c r="D132" s="7">
        <v>2011</v>
      </c>
      <c r="E132" s="7">
        <v>2012</v>
      </c>
      <c r="F132" s="7">
        <v>2013</v>
      </c>
      <c r="G132" s="7">
        <v>2014</v>
      </c>
      <c r="H132" s="7">
        <v>2015</v>
      </c>
      <c r="I132" s="7">
        <v>2016</v>
      </c>
      <c r="J132" s="7">
        <v>2017</v>
      </c>
      <c r="K132" s="7">
        <v>2018</v>
      </c>
      <c r="L132" s="7">
        <v>2019</v>
      </c>
      <c r="M132" s="7">
        <v>2020</v>
      </c>
      <c r="N132" s="7">
        <v>2021</v>
      </c>
      <c r="O132" s="7">
        <v>2022</v>
      </c>
      <c r="P132" s="7">
        <v>2023</v>
      </c>
      <c r="Q132" s="7">
        <v>2024</v>
      </c>
    </row>
    <row r="133" spans="3:17" x14ac:dyDescent="0.25">
      <c r="C133" s="1" t="s">
        <v>13</v>
      </c>
      <c r="D133" s="3">
        <f>D181</f>
        <v>13</v>
      </c>
      <c r="E133" s="3">
        <f t="shared" ref="E133:Q133" si="88">E181</f>
        <v>14</v>
      </c>
      <c r="F133" s="3">
        <f t="shared" si="88"/>
        <v>10</v>
      </c>
      <c r="G133" s="3">
        <f t="shared" si="88"/>
        <v>11</v>
      </c>
      <c r="H133" s="3">
        <f t="shared" si="88"/>
        <v>9</v>
      </c>
      <c r="I133" s="3">
        <f t="shared" si="88"/>
        <v>14</v>
      </c>
      <c r="J133" s="3">
        <f t="shared" si="88"/>
        <v>7</v>
      </c>
      <c r="K133" s="3">
        <f t="shared" si="88"/>
        <v>7</v>
      </c>
      <c r="L133" s="3">
        <f t="shared" si="88"/>
        <v>19</v>
      </c>
      <c r="M133" s="3">
        <f t="shared" si="88"/>
        <v>15</v>
      </c>
      <c r="N133" s="3">
        <f t="shared" si="88"/>
        <v>17</v>
      </c>
      <c r="O133" s="3">
        <f t="shared" si="88"/>
        <v>20</v>
      </c>
      <c r="P133" s="3">
        <f t="shared" si="88"/>
        <v>15</v>
      </c>
      <c r="Q133" s="3">
        <f t="shared" si="88"/>
        <v>19</v>
      </c>
    </row>
    <row r="134" spans="3:17" x14ac:dyDescent="0.25">
      <c r="C134" s="1" t="s">
        <v>5</v>
      </c>
      <c r="D134" s="3">
        <f t="shared" ref="D134:Q136" si="89">D182</f>
        <v>17</v>
      </c>
      <c r="E134" s="3">
        <f t="shared" si="89"/>
        <v>16</v>
      </c>
      <c r="F134" s="3">
        <f t="shared" si="89"/>
        <v>21</v>
      </c>
      <c r="G134" s="3">
        <f t="shared" si="89"/>
        <v>18</v>
      </c>
      <c r="H134" s="3">
        <f t="shared" si="89"/>
        <v>23</v>
      </c>
      <c r="I134" s="3">
        <f t="shared" si="89"/>
        <v>18</v>
      </c>
      <c r="J134" s="3">
        <f t="shared" si="89"/>
        <v>15</v>
      </c>
      <c r="K134" s="3">
        <f t="shared" si="89"/>
        <v>16</v>
      </c>
      <c r="L134" s="3">
        <f t="shared" si="89"/>
        <v>19</v>
      </c>
      <c r="M134" s="3">
        <f t="shared" si="89"/>
        <v>13</v>
      </c>
      <c r="N134" s="3">
        <f t="shared" si="89"/>
        <v>15</v>
      </c>
      <c r="O134" s="3">
        <f t="shared" si="89"/>
        <v>18</v>
      </c>
      <c r="P134" s="3">
        <f t="shared" si="89"/>
        <v>20</v>
      </c>
      <c r="Q134" s="3">
        <f t="shared" si="89"/>
        <v>26</v>
      </c>
    </row>
    <row r="135" spans="3:17" x14ac:dyDescent="0.25">
      <c r="C135" s="1" t="s">
        <v>6</v>
      </c>
      <c r="D135" s="3">
        <f t="shared" si="89"/>
        <v>3</v>
      </c>
      <c r="E135" s="3">
        <f t="shared" si="89"/>
        <v>1</v>
      </c>
      <c r="F135" s="3">
        <f t="shared" si="89"/>
        <v>4</v>
      </c>
      <c r="G135" s="3">
        <f t="shared" si="89"/>
        <v>2</v>
      </c>
      <c r="H135" s="3">
        <f t="shared" si="89"/>
        <v>4</v>
      </c>
      <c r="I135" s="3">
        <f t="shared" si="89"/>
        <v>4</v>
      </c>
      <c r="J135" s="3">
        <f t="shared" si="89"/>
        <v>2</v>
      </c>
      <c r="K135" s="3">
        <f t="shared" si="89"/>
        <v>4</v>
      </c>
      <c r="L135" s="3">
        <f t="shared" si="89"/>
        <v>1</v>
      </c>
      <c r="M135" s="3">
        <f t="shared" si="89"/>
        <v>2</v>
      </c>
      <c r="N135" s="3">
        <f t="shared" si="89"/>
        <v>1</v>
      </c>
      <c r="O135" s="3">
        <f t="shared" si="89"/>
        <v>2</v>
      </c>
      <c r="P135" s="3">
        <f t="shared" si="89"/>
        <v>1</v>
      </c>
      <c r="Q135" s="3">
        <f t="shared" si="89"/>
        <v>3</v>
      </c>
    </row>
    <row r="136" spans="3:17" x14ac:dyDescent="0.25">
      <c r="C136" s="1" t="s">
        <v>15</v>
      </c>
      <c r="D136" s="3">
        <f t="shared" si="89"/>
        <v>0</v>
      </c>
      <c r="E136" s="3">
        <f t="shared" si="89"/>
        <v>0</v>
      </c>
      <c r="F136" s="3">
        <f t="shared" si="89"/>
        <v>0</v>
      </c>
      <c r="G136" s="3">
        <f t="shared" si="89"/>
        <v>0</v>
      </c>
      <c r="H136" s="3">
        <f t="shared" si="89"/>
        <v>0</v>
      </c>
      <c r="I136" s="3">
        <f t="shared" si="89"/>
        <v>0</v>
      </c>
      <c r="J136" s="3">
        <f t="shared" si="89"/>
        <v>0</v>
      </c>
      <c r="K136" s="3">
        <f t="shared" si="89"/>
        <v>0</v>
      </c>
      <c r="L136" s="3">
        <f t="shared" si="89"/>
        <v>0</v>
      </c>
      <c r="M136" s="3">
        <f t="shared" si="89"/>
        <v>2</v>
      </c>
      <c r="N136" s="3">
        <f t="shared" si="89"/>
        <v>1</v>
      </c>
      <c r="O136" s="3">
        <f t="shared" si="89"/>
        <v>3</v>
      </c>
      <c r="P136" s="3">
        <f t="shared" si="89"/>
        <v>1</v>
      </c>
      <c r="Q136" s="3">
        <f t="shared" si="89"/>
        <v>0</v>
      </c>
    </row>
    <row r="137" spans="3:17" x14ac:dyDescent="0.25">
      <c r="C137" s="1" t="s">
        <v>8</v>
      </c>
      <c r="D137" s="3">
        <f>SUM(D133:D136)</f>
        <v>33</v>
      </c>
      <c r="E137" s="3">
        <f t="shared" ref="E137" si="90">SUM(E133:E136)</f>
        <v>31</v>
      </c>
      <c r="F137" s="3">
        <f t="shared" ref="F137" si="91">SUM(F133:F136)</f>
        <v>35</v>
      </c>
      <c r="G137" s="3">
        <f t="shared" ref="G137" si="92">SUM(G133:G136)</f>
        <v>31</v>
      </c>
      <c r="H137" s="3">
        <f t="shared" ref="H137" si="93">SUM(H133:H136)</f>
        <v>36</v>
      </c>
      <c r="I137" s="3">
        <f t="shared" ref="I137" si="94">SUM(I133:I136)</f>
        <v>36</v>
      </c>
      <c r="J137" s="3">
        <f t="shared" ref="J137" si="95">SUM(J133:J136)</f>
        <v>24</v>
      </c>
      <c r="K137" s="3">
        <f t="shared" ref="K137" si="96">SUM(K133:K136)</f>
        <v>27</v>
      </c>
      <c r="L137" s="3">
        <f t="shared" ref="L137" si="97">SUM(L133:L136)</f>
        <v>39</v>
      </c>
      <c r="M137" s="3">
        <f t="shared" ref="M137" si="98">SUM(M133:M136)</f>
        <v>32</v>
      </c>
      <c r="N137" s="3">
        <f t="shared" ref="N137" si="99">SUM(N133:N136)</f>
        <v>34</v>
      </c>
      <c r="O137" s="3">
        <f t="shared" ref="O137" si="100">SUM(O133:O136)</f>
        <v>43</v>
      </c>
      <c r="P137" s="3">
        <f t="shared" ref="P137" si="101">SUM(P133:P136)</f>
        <v>37</v>
      </c>
      <c r="Q137" s="3">
        <f t="shared" ref="Q137" si="102">SUM(Q133:Q136)</f>
        <v>48</v>
      </c>
    </row>
    <row r="138" spans="3:17" x14ac:dyDescent="0.25">
      <c r="C138" s="8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3:17" x14ac:dyDescent="0.25">
      <c r="C139" s="8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3:17" x14ac:dyDescent="0.25">
      <c r="C140" s="8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3:17" x14ac:dyDescent="0.25">
      <c r="C141" s="8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3:17" x14ac:dyDescent="0.25">
      <c r="C142" s="8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3:17" x14ac:dyDescent="0.25">
      <c r="C143" s="8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3:17" x14ac:dyDescent="0.25">
      <c r="C144" s="8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3:17" x14ac:dyDescent="0.25">
      <c r="C145" s="8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3:17" x14ac:dyDescent="0.25">
      <c r="C146" s="8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3:17" x14ac:dyDescent="0.25">
      <c r="C147" s="8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3:17" x14ac:dyDescent="0.25">
      <c r="C148" s="8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3:17" x14ac:dyDescent="0.25">
      <c r="C149" s="8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3:17" x14ac:dyDescent="0.25">
      <c r="C150" s="8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3:17" x14ac:dyDescent="0.25">
      <c r="C151" s="8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3:17" x14ac:dyDescent="0.25">
      <c r="C152" s="8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3:17" x14ac:dyDescent="0.25">
      <c r="C153" s="8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3:17" x14ac:dyDescent="0.25">
      <c r="C154" s="8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3:17" x14ac:dyDescent="0.25">
      <c r="C155" s="2" t="s">
        <v>19</v>
      </c>
    </row>
    <row r="156" spans="3:17" x14ac:dyDescent="0.25">
      <c r="D156" s="7">
        <v>2011</v>
      </c>
      <c r="E156" s="7">
        <v>2012</v>
      </c>
      <c r="F156" s="7">
        <v>2013</v>
      </c>
      <c r="G156" s="7">
        <v>2014</v>
      </c>
      <c r="H156" s="7">
        <v>2015</v>
      </c>
      <c r="I156" s="7">
        <v>2016</v>
      </c>
      <c r="J156" s="7">
        <v>2017</v>
      </c>
      <c r="K156" s="7">
        <v>2018</v>
      </c>
      <c r="L156" s="7">
        <v>2019</v>
      </c>
      <c r="M156" s="7">
        <v>2020</v>
      </c>
      <c r="N156" s="7">
        <v>2021</v>
      </c>
      <c r="O156" s="7">
        <v>2022</v>
      </c>
      <c r="P156" s="7">
        <v>2023</v>
      </c>
      <c r="Q156" s="7">
        <v>2024</v>
      </c>
    </row>
    <row r="157" spans="3:17" x14ac:dyDescent="0.25">
      <c r="C157" s="1" t="s">
        <v>9</v>
      </c>
      <c r="D157" s="3">
        <f>D175</f>
        <v>4394</v>
      </c>
      <c r="E157" s="3">
        <f>E175</f>
        <v>4443</v>
      </c>
      <c r="F157" s="3">
        <f>F175</f>
        <v>3098</v>
      </c>
      <c r="G157" s="3">
        <f>G175</f>
        <v>4458</v>
      </c>
      <c r="H157" s="3">
        <f>H175</f>
        <v>4067</v>
      </c>
      <c r="I157" s="3">
        <f>I175</f>
        <v>4708</v>
      </c>
      <c r="J157" s="3">
        <f>J175</f>
        <v>4783</v>
      </c>
      <c r="K157" s="3">
        <f>K175</f>
        <v>4617</v>
      </c>
      <c r="L157" s="3">
        <f>L175</f>
        <v>4746</v>
      </c>
      <c r="M157" s="3">
        <f>M175</f>
        <v>3158</v>
      </c>
      <c r="N157" s="3">
        <f>N175</f>
        <v>3952</v>
      </c>
      <c r="O157" s="3">
        <f>O175</f>
        <v>4050</v>
      </c>
      <c r="P157" s="3">
        <f>P175</f>
        <v>4008</v>
      </c>
      <c r="Q157" s="3">
        <f>Q175</f>
        <v>3940</v>
      </c>
    </row>
    <row r="158" spans="3:17" x14ac:dyDescent="0.25">
      <c r="C158" s="1" t="s">
        <v>10</v>
      </c>
      <c r="D158" s="3">
        <f>D180</f>
        <v>216</v>
      </c>
      <c r="E158" s="3">
        <f>E180</f>
        <v>219</v>
      </c>
      <c r="F158" s="3">
        <f>F180</f>
        <v>144</v>
      </c>
      <c r="G158" s="3">
        <f>G180</f>
        <v>244</v>
      </c>
      <c r="H158" s="3">
        <f>H180</f>
        <v>232</v>
      </c>
      <c r="I158" s="3">
        <f>I180</f>
        <v>284</v>
      </c>
      <c r="J158" s="3">
        <f>J180</f>
        <v>276</v>
      </c>
      <c r="K158" s="3">
        <f>K180</f>
        <v>255</v>
      </c>
      <c r="L158" s="3">
        <f>L180</f>
        <v>252</v>
      </c>
      <c r="M158" s="3">
        <f>M180</f>
        <v>169</v>
      </c>
      <c r="N158" s="3">
        <f>N180</f>
        <v>246</v>
      </c>
      <c r="O158" s="3">
        <f>O180</f>
        <v>262</v>
      </c>
      <c r="P158" s="3">
        <f>P180</f>
        <v>215</v>
      </c>
      <c r="Q158" s="3">
        <f>Q180</f>
        <v>272</v>
      </c>
    </row>
    <row r="159" spans="3:17" x14ac:dyDescent="0.25">
      <c r="C159" s="1" t="s">
        <v>11</v>
      </c>
      <c r="D159" s="3">
        <f>D185</f>
        <v>33</v>
      </c>
      <c r="E159" s="3">
        <f>E185</f>
        <v>31</v>
      </c>
      <c r="F159" s="3">
        <f>F185</f>
        <v>35</v>
      </c>
      <c r="G159" s="3">
        <f>G185</f>
        <v>31</v>
      </c>
      <c r="H159" s="3">
        <f>H185</f>
        <v>36</v>
      </c>
      <c r="I159" s="3">
        <f>I185</f>
        <v>36</v>
      </c>
      <c r="J159" s="3">
        <f>J185</f>
        <v>24</v>
      </c>
      <c r="K159" s="3">
        <f>K185</f>
        <v>27</v>
      </c>
      <c r="L159" s="3">
        <f>L185</f>
        <v>39</v>
      </c>
      <c r="M159" s="3">
        <f>M185</f>
        <v>32</v>
      </c>
      <c r="N159" s="3">
        <f>N185</f>
        <v>34</v>
      </c>
      <c r="O159" s="3">
        <f>O185</f>
        <v>43</v>
      </c>
      <c r="P159" s="3">
        <f>P185</f>
        <v>37</v>
      </c>
      <c r="Q159" s="3">
        <f>Q185</f>
        <v>48</v>
      </c>
    </row>
    <row r="160" spans="3:17" x14ac:dyDescent="0.25">
      <c r="C160" s="1" t="s">
        <v>8</v>
      </c>
      <c r="D160" s="3">
        <f>SUM(D157:D159)</f>
        <v>4643</v>
      </c>
      <c r="E160" s="3">
        <f t="shared" ref="E160" si="103">SUM(E157:E159)</f>
        <v>4693</v>
      </c>
      <c r="F160" s="3">
        <f t="shared" ref="F160" si="104">SUM(F157:F159)</f>
        <v>3277</v>
      </c>
      <c r="G160" s="3">
        <f t="shared" ref="G160" si="105">SUM(G157:G159)</f>
        <v>4733</v>
      </c>
      <c r="H160" s="3">
        <f t="shared" ref="H160" si="106">SUM(H157:H159)</f>
        <v>4335</v>
      </c>
      <c r="I160" s="3">
        <f t="shared" ref="I160" si="107">SUM(I157:I159)</f>
        <v>5028</v>
      </c>
      <c r="J160" s="3">
        <f t="shared" ref="J160" si="108">SUM(J157:J159)</f>
        <v>5083</v>
      </c>
      <c r="K160" s="3">
        <f t="shared" ref="K160" si="109">SUM(K157:K159)</f>
        <v>4899</v>
      </c>
      <c r="L160" s="3">
        <f t="shared" ref="L160" si="110">SUM(L157:L159)</f>
        <v>5037</v>
      </c>
      <c r="M160" s="3">
        <f t="shared" ref="M160" si="111">SUM(M157:M159)</f>
        <v>3359</v>
      </c>
      <c r="N160" s="3">
        <f t="shared" ref="N160" si="112">SUM(N157:N159)</f>
        <v>4232</v>
      </c>
      <c r="O160" s="3">
        <f t="shared" ref="O160" si="113">SUM(O157:O159)</f>
        <v>4355</v>
      </c>
      <c r="P160" s="3">
        <f t="shared" ref="P160" si="114">SUM(P157:P159)</f>
        <v>4260</v>
      </c>
      <c r="Q160" s="3">
        <f t="shared" ref="Q160" si="115">SUM(Q157:Q159)</f>
        <v>4260</v>
      </c>
    </row>
    <row r="161" spans="2:17" x14ac:dyDescent="0.25">
      <c r="C161" s="8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2:17" x14ac:dyDescent="0.25">
      <c r="C162" s="2" t="s">
        <v>26</v>
      </c>
    </row>
    <row r="163" spans="2:17" x14ac:dyDescent="0.25">
      <c r="D163" s="7">
        <v>2011</v>
      </c>
      <c r="E163" s="7">
        <v>2012</v>
      </c>
      <c r="F163" s="7">
        <v>2013</v>
      </c>
      <c r="G163" s="7">
        <v>2014</v>
      </c>
      <c r="H163" s="7">
        <v>2015</v>
      </c>
      <c r="I163" s="7">
        <v>2016</v>
      </c>
      <c r="J163" s="7">
        <v>2017</v>
      </c>
      <c r="K163" s="7">
        <v>2018</v>
      </c>
      <c r="L163" s="7">
        <v>2019</v>
      </c>
      <c r="M163" s="7">
        <v>2020</v>
      </c>
      <c r="N163" s="7">
        <v>2021</v>
      </c>
      <c r="O163" s="7">
        <v>2022</v>
      </c>
      <c r="P163" s="7">
        <v>2023</v>
      </c>
      <c r="Q163" s="7">
        <v>2024</v>
      </c>
    </row>
    <row r="164" spans="2:17" x14ac:dyDescent="0.25">
      <c r="C164" s="1" t="s">
        <v>9</v>
      </c>
      <c r="D164" s="3">
        <f>SUM(D172:D174)</f>
        <v>1350</v>
      </c>
      <c r="E164" s="3">
        <f t="shared" ref="E164:Q164" si="116">SUM(E172:E174)</f>
        <v>1494</v>
      </c>
      <c r="F164" s="3">
        <f t="shared" si="116"/>
        <v>896</v>
      </c>
      <c r="G164" s="3">
        <f t="shared" si="116"/>
        <v>1379</v>
      </c>
      <c r="H164" s="3">
        <f t="shared" si="116"/>
        <v>1210</v>
      </c>
      <c r="I164" s="3">
        <f t="shared" si="116"/>
        <v>1305</v>
      </c>
      <c r="J164" s="3">
        <f t="shared" si="116"/>
        <v>1289</v>
      </c>
      <c r="K164" s="3">
        <f t="shared" si="116"/>
        <v>1285</v>
      </c>
      <c r="L164" s="3">
        <f t="shared" si="116"/>
        <v>1330</v>
      </c>
      <c r="M164" s="3">
        <f t="shared" si="116"/>
        <v>843</v>
      </c>
      <c r="N164" s="3">
        <f t="shared" si="116"/>
        <v>970</v>
      </c>
      <c r="O164" s="3">
        <f t="shared" si="116"/>
        <v>979</v>
      </c>
      <c r="P164" s="3">
        <f t="shared" si="116"/>
        <v>972</v>
      </c>
      <c r="Q164" s="3">
        <f t="shared" si="116"/>
        <v>1013</v>
      </c>
    </row>
    <row r="165" spans="2:17" x14ac:dyDescent="0.25">
      <c r="C165" s="1" t="s">
        <v>10</v>
      </c>
      <c r="D165" s="3">
        <f>SUM(D177:D179)</f>
        <v>118</v>
      </c>
      <c r="E165" s="3">
        <f t="shared" ref="E165:Q165" si="117">SUM(E177:E179)</f>
        <v>117</v>
      </c>
      <c r="F165" s="3">
        <f t="shared" si="117"/>
        <v>84</v>
      </c>
      <c r="G165" s="3">
        <f t="shared" si="117"/>
        <v>143</v>
      </c>
      <c r="H165" s="3">
        <f t="shared" si="117"/>
        <v>132</v>
      </c>
      <c r="I165" s="3">
        <f t="shared" si="117"/>
        <v>152</v>
      </c>
      <c r="J165" s="3">
        <f t="shared" si="117"/>
        <v>149</v>
      </c>
      <c r="K165" s="3">
        <f t="shared" si="117"/>
        <v>150</v>
      </c>
      <c r="L165" s="3">
        <f t="shared" si="117"/>
        <v>147</v>
      </c>
      <c r="M165" s="3">
        <f t="shared" si="117"/>
        <v>98</v>
      </c>
      <c r="N165" s="3">
        <f t="shared" si="117"/>
        <v>138</v>
      </c>
      <c r="O165" s="3">
        <f t="shared" si="117"/>
        <v>150</v>
      </c>
      <c r="P165" s="3">
        <f t="shared" si="117"/>
        <v>120</v>
      </c>
      <c r="Q165" s="3">
        <f t="shared" si="117"/>
        <v>153</v>
      </c>
    </row>
    <row r="166" spans="2:17" x14ac:dyDescent="0.25">
      <c r="C166" s="1" t="s">
        <v>11</v>
      </c>
      <c r="D166" s="3">
        <f>SUM(D182:D184)</f>
        <v>20</v>
      </c>
      <c r="E166" s="3">
        <f t="shared" ref="E166:Q166" si="118">SUM(E182:E184)</f>
        <v>17</v>
      </c>
      <c r="F166" s="3">
        <f t="shared" si="118"/>
        <v>25</v>
      </c>
      <c r="G166" s="3">
        <f t="shared" si="118"/>
        <v>20</v>
      </c>
      <c r="H166" s="3">
        <f t="shared" si="118"/>
        <v>27</v>
      </c>
      <c r="I166" s="3">
        <f t="shared" si="118"/>
        <v>22</v>
      </c>
      <c r="J166" s="3">
        <f t="shared" si="118"/>
        <v>17</v>
      </c>
      <c r="K166" s="3">
        <f t="shared" si="118"/>
        <v>20</v>
      </c>
      <c r="L166" s="3">
        <f t="shared" si="118"/>
        <v>20</v>
      </c>
      <c r="M166" s="3">
        <f t="shared" si="118"/>
        <v>17</v>
      </c>
      <c r="N166" s="3">
        <f t="shared" si="118"/>
        <v>17</v>
      </c>
      <c r="O166" s="3">
        <f t="shared" si="118"/>
        <v>23</v>
      </c>
      <c r="P166" s="3">
        <f t="shared" si="118"/>
        <v>22</v>
      </c>
      <c r="Q166" s="3">
        <f t="shared" si="118"/>
        <v>29</v>
      </c>
    </row>
    <row r="167" spans="2:17" x14ac:dyDescent="0.25">
      <c r="C167" s="1" t="s">
        <v>8</v>
      </c>
      <c r="D167" s="3">
        <f>SUM(D164:D166)</f>
        <v>1488</v>
      </c>
      <c r="E167" s="3">
        <f t="shared" ref="E167" si="119">SUM(E164:E166)</f>
        <v>1628</v>
      </c>
      <c r="F167" s="3">
        <f t="shared" ref="F167" si="120">SUM(F164:F166)</f>
        <v>1005</v>
      </c>
      <c r="G167" s="3">
        <f t="shared" ref="G167" si="121">SUM(G164:G166)</f>
        <v>1542</v>
      </c>
      <c r="H167" s="3">
        <f t="shared" ref="H167" si="122">SUM(H164:H166)</f>
        <v>1369</v>
      </c>
      <c r="I167" s="3">
        <f t="shared" ref="I167" si="123">SUM(I164:I166)</f>
        <v>1479</v>
      </c>
      <c r="J167" s="3">
        <f t="shared" ref="J167" si="124">SUM(J164:J166)</f>
        <v>1455</v>
      </c>
      <c r="K167" s="3">
        <f t="shared" ref="K167" si="125">SUM(K164:K166)</f>
        <v>1455</v>
      </c>
      <c r="L167" s="3">
        <f t="shared" ref="L167" si="126">SUM(L164:L166)</f>
        <v>1497</v>
      </c>
      <c r="M167" s="3">
        <f t="shared" ref="M167" si="127">SUM(M164:M166)</f>
        <v>958</v>
      </c>
      <c r="N167" s="3">
        <f t="shared" ref="N167" si="128">SUM(N164:N166)</f>
        <v>1125</v>
      </c>
      <c r="O167" s="3">
        <f t="shared" ref="O167" si="129">SUM(O164:O166)</f>
        <v>1152</v>
      </c>
      <c r="P167" s="3">
        <f t="shared" ref="P167" si="130">SUM(P164:P166)</f>
        <v>1114</v>
      </c>
      <c r="Q167" s="3">
        <f t="shared" ref="Q167" si="131">SUM(Q164:Q166)</f>
        <v>1195</v>
      </c>
    </row>
    <row r="168" spans="2:17" x14ac:dyDescent="0.25">
      <c r="C168" s="8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2:17" x14ac:dyDescent="0.25">
      <c r="B169" s="2" t="s">
        <v>12</v>
      </c>
    </row>
    <row r="170" spans="2:17" x14ac:dyDescent="0.25">
      <c r="B170" s="1" t="s">
        <v>1</v>
      </c>
      <c r="C170" s="1" t="s">
        <v>2</v>
      </c>
      <c r="D170" s="1">
        <v>2011</v>
      </c>
      <c r="E170" s="1">
        <v>2012</v>
      </c>
      <c r="F170" s="1">
        <v>2013</v>
      </c>
      <c r="G170" s="1">
        <v>2014</v>
      </c>
      <c r="H170" s="1">
        <v>2015</v>
      </c>
      <c r="I170" s="1">
        <v>2016</v>
      </c>
      <c r="J170" s="1">
        <v>2017</v>
      </c>
      <c r="K170" s="1">
        <v>2018</v>
      </c>
      <c r="L170" s="1">
        <v>2019</v>
      </c>
      <c r="M170" s="1">
        <v>2020</v>
      </c>
      <c r="N170" s="1">
        <v>2021</v>
      </c>
      <c r="O170" s="1">
        <v>2022</v>
      </c>
      <c r="P170" s="1">
        <v>2023</v>
      </c>
      <c r="Q170" s="1">
        <v>2024</v>
      </c>
    </row>
    <row r="171" spans="2:17" x14ac:dyDescent="0.25">
      <c r="B171" s="4" t="s">
        <v>9</v>
      </c>
      <c r="C171" s="1" t="s">
        <v>13</v>
      </c>
      <c r="D171" s="3">
        <v>3044</v>
      </c>
      <c r="E171" s="3">
        <v>2949</v>
      </c>
      <c r="F171" s="3">
        <v>2202</v>
      </c>
      <c r="G171" s="3">
        <v>3079</v>
      </c>
      <c r="H171" s="3">
        <v>2857</v>
      </c>
      <c r="I171" s="3">
        <v>3403</v>
      </c>
      <c r="J171" s="3">
        <v>3494</v>
      </c>
      <c r="K171" s="3">
        <v>3332</v>
      </c>
      <c r="L171" s="3">
        <v>3416</v>
      </c>
      <c r="M171" s="3">
        <v>2315</v>
      </c>
      <c r="N171" s="3">
        <v>2982</v>
      </c>
      <c r="O171" s="3">
        <v>3071</v>
      </c>
      <c r="P171" s="3">
        <v>3036</v>
      </c>
      <c r="Q171" s="3">
        <v>2927</v>
      </c>
    </row>
    <row r="172" spans="2:17" x14ac:dyDescent="0.25">
      <c r="B172" s="5"/>
      <c r="C172" s="1" t="s">
        <v>5</v>
      </c>
      <c r="D172" s="3">
        <v>768</v>
      </c>
      <c r="E172" s="3">
        <v>885</v>
      </c>
      <c r="F172" s="3">
        <v>496</v>
      </c>
      <c r="G172" s="3">
        <v>775</v>
      </c>
      <c r="H172" s="3">
        <v>676</v>
      </c>
      <c r="I172" s="3">
        <v>765</v>
      </c>
      <c r="J172" s="3">
        <v>753</v>
      </c>
      <c r="K172" s="3">
        <v>742</v>
      </c>
      <c r="L172" s="3">
        <v>733</v>
      </c>
      <c r="M172" s="3">
        <v>441</v>
      </c>
      <c r="N172" s="3">
        <v>487</v>
      </c>
      <c r="O172" s="3">
        <v>497</v>
      </c>
      <c r="P172" s="3">
        <v>537</v>
      </c>
      <c r="Q172" s="3">
        <v>552</v>
      </c>
    </row>
    <row r="173" spans="2:17" x14ac:dyDescent="0.25">
      <c r="B173" s="5"/>
      <c r="C173" s="1" t="s">
        <v>14</v>
      </c>
      <c r="D173" s="3">
        <v>570</v>
      </c>
      <c r="E173" s="3">
        <v>591</v>
      </c>
      <c r="F173" s="3">
        <v>388</v>
      </c>
      <c r="G173" s="3">
        <v>579</v>
      </c>
      <c r="H173" s="3">
        <v>506</v>
      </c>
      <c r="I173" s="3">
        <v>508</v>
      </c>
      <c r="J173" s="3">
        <v>494</v>
      </c>
      <c r="K173" s="3">
        <v>498</v>
      </c>
      <c r="L173" s="3">
        <v>492</v>
      </c>
      <c r="M173" s="3">
        <v>333</v>
      </c>
      <c r="N173" s="3">
        <v>349</v>
      </c>
      <c r="O173" s="3">
        <v>321</v>
      </c>
      <c r="P173" s="3">
        <v>327</v>
      </c>
      <c r="Q173" s="3">
        <v>373</v>
      </c>
    </row>
    <row r="174" spans="2:17" x14ac:dyDescent="0.25">
      <c r="B174" s="5"/>
      <c r="C174" s="1" t="s">
        <v>15</v>
      </c>
      <c r="D174" s="3">
        <v>12</v>
      </c>
      <c r="E174" s="3">
        <v>18</v>
      </c>
      <c r="F174" s="3">
        <v>12</v>
      </c>
      <c r="G174" s="3">
        <v>25</v>
      </c>
      <c r="H174" s="3">
        <v>28</v>
      </c>
      <c r="I174" s="3">
        <v>32</v>
      </c>
      <c r="J174" s="3">
        <v>42</v>
      </c>
      <c r="K174" s="3">
        <v>45</v>
      </c>
      <c r="L174" s="3">
        <v>105</v>
      </c>
      <c r="M174" s="3">
        <v>69</v>
      </c>
      <c r="N174" s="3">
        <v>134</v>
      </c>
      <c r="O174" s="3">
        <v>161</v>
      </c>
      <c r="P174" s="3">
        <v>108</v>
      </c>
      <c r="Q174" s="3">
        <v>88</v>
      </c>
    </row>
    <row r="175" spans="2:17" x14ac:dyDescent="0.25">
      <c r="B175" s="6"/>
      <c r="C175" s="1" t="s">
        <v>8</v>
      </c>
      <c r="D175" s="3">
        <f t="shared" ref="D175:Q175" si="132">SUM(D171:D174)</f>
        <v>4394</v>
      </c>
      <c r="E175" s="3">
        <f t="shared" si="132"/>
        <v>4443</v>
      </c>
      <c r="F175" s="3">
        <f t="shared" si="132"/>
        <v>3098</v>
      </c>
      <c r="G175" s="3">
        <f t="shared" si="132"/>
        <v>4458</v>
      </c>
      <c r="H175" s="3">
        <f t="shared" si="132"/>
        <v>4067</v>
      </c>
      <c r="I175" s="3">
        <f t="shared" si="132"/>
        <v>4708</v>
      </c>
      <c r="J175" s="3">
        <f t="shared" si="132"/>
        <v>4783</v>
      </c>
      <c r="K175" s="3">
        <f t="shared" si="132"/>
        <v>4617</v>
      </c>
      <c r="L175" s="3">
        <f t="shared" si="132"/>
        <v>4746</v>
      </c>
      <c r="M175" s="3">
        <f t="shared" si="132"/>
        <v>3158</v>
      </c>
      <c r="N175" s="3">
        <f t="shared" si="132"/>
        <v>3952</v>
      </c>
      <c r="O175" s="3">
        <f t="shared" si="132"/>
        <v>4050</v>
      </c>
      <c r="P175" s="3">
        <f t="shared" si="132"/>
        <v>4008</v>
      </c>
      <c r="Q175" s="3">
        <f t="shared" si="132"/>
        <v>3940</v>
      </c>
    </row>
    <row r="176" spans="2:17" x14ac:dyDescent="0.25">
      <c r="B176" s="4" t="s">
        <v>10</v>
      </c>
      <c r="C176" s="1" t="s">
        <v>13</v>
      </c>
      <c r="D176" s="3">
        <v>98</v>
      </c>
      <c r="E176" s="3">
        <v>102</v>
      </c>
      <c r="F176" s="3">
        <v>60</v>
      </c>
      <c r="G176" s="3">
        <v>101</v>
      </c>
      <c r="H176" s="3">
        <v>100</v>
      </c>
      <c r="I176" s="3">
        <v>132</v>
      </c>
      <c r="J176" s="3">
        <v>127</v>
      </c>
      <c r="K176" s="3">
        <v>105</v>
      </c>
      <c r="L176" s="3">
        <v>105</v>
      </c>
      <c r="M176" s="3">
        <v>71</v>
      </c>
      <c r="N176" s="3">
        <v>108</v>
      </c>
      <c r="O176" s="3">
        <v>112</v>
      </c>
      <c r="P176" s="3">
        <v>95</v>
      </c>
      <c r="Q176" s="3">
        <v>119</v>
      </c>
    </row>
    <row r="177" spans="2:17" x14ac:dyDescent="0.25">
      <c r="B177" s="5"/>
      <c r="C177" s="1" t="s">
        <v>5</v>
      </c>
      <c r="D177" s="3">
        <v>77</v>
      </c>
      <c r="E177" s="3">
        <v>85</v>
      </c>
      <c r="F177" s="3">
        <v>40</v>
      </c>
      <c r="G177" s="3">
        <v>86</v>
      </c>
      <c r="H177" s="3">
        <v>83</v>
      </c>
      <c r="I177" s="3">
        <v>110</v>
      </c>
      <c r="J177" s="3">
        <v>106</v>
      </c>
      <c r="K177" s="3">
        <v>94</v>
      </c>
      <c r="L177" s="3">
        <v>98</v>
      </c>
      <c r="M177" s="3">
        <v>69</v>
      </c>
      <c r="N177" s="3">
        <v>79</v>
      </c>
      <c r="O177" s="3">
        <v>89</v>
      </c>
      <c r="P177" s="3">
        <v>71</v>
      </c>
      <c r="Q177" s="3">
        <v>91</v>
      </c>
    </row>
    <row r="178" spans="2:17" x14ac:dyDescent="0.25">
      <c r="B178" s="5"/>
      <c r="C178" s="1" t="s">
        <v>14</v>
      </c>
      <c r="D178" s="3">
        <v>39</v>
      </c>
      <c r="E178" s="3">
        <v>32</v>
      </c>
      <c r="F178" s="3">
        <v>43</v>
      </c>
      <c r="G178" s="3">
        <v>54</v>
      </c>
      <c r="H178" s="3">
        <v>45</v>
      </c>
      <c r="I178" s="3">
        <v>40</v>
      </c>
      <c r="J178" s="3">
        <v>42</v>
      </c>
      <c r="K178" s="3">
        <v>52</v>
      </c>
      <c r="L178" s="3">
        <v>40</v>
      </c>
      <c r="M178" s="3">
        <v>25</v>
      </c>
      <c r="N178" s="3">
        <v>44</v>
      </c>
      <c r="O178" s="3">
        <v>44</v>
      </c>
      <c r="P178" s="3">
        <v>38</v>
      </c>
      <c r="Q178" s="3">
        <v>45</v>
      </c>
    </row>
    <row r="179" spans="2:17" x14ac:dyDescent="0.25">
      <c r="B179" s="5"/>
      <c r="C179" s="1" t="s">
        <v>15</v>
      </c>
      <c r="D179" s="3">
        <v>2</v>
      </c>
      <c r="E179" s="3"/>
      <c r="F179" s="3">
        <v>1</v>
      </c>
      <c r="G179" s="3">
        <v>3</v>
      </c>
      <c r="H179" s="3">
        <v>4</v>
      </c>
      <c r="I179" s="3">
        <v>2</v>
      </c>
      <c r="J179" s="3">
        <v>1</v>
      </c>
      <c r="K179" s="3">
        <v>4</v>
      </c>
      <c r="L179" s="3">
        <v>9</v>
      </c>
      <c r="M179" s="3">
        <v>4</v>
      </c>
      <c r="N179" s="3">
        <v>15</v>
      </c>
      <c r="O179" s="3">
        <v>17</v>
      </c>
      <c r="P179" s="3">
        <v>11</v>
      </c>
      <c r="Q179" s="3">
        <v>17</v>
      </c>
    </row>
    <row r="180" spans="2:17" x14ac:dyDescent="0.25">
      <c r="B180" s="6"/>
      <c r="C180" s="1" t="s">
        <v>8</v>
      </c>
      <c r="D180" s="3">
        <f t="shared" ref="D180:Q180" si="133">SUM(D176:D179)</f>
        <v>216</v>
      </c>
      <c r="E180" s="3">
        <f t="shared" si="133"/>
        <v>219</v>
      </c>
      <c r="F180" s="3">
        <f t="shared" si="133"/>
        <v>144</v>
      </c>
      <c r="G180" s="3">
        <f t="shared" si="133"/>
        <v>244</v>
      </c>
      <c r="H180" s="3">
        <f t="shared" si="133"/>
        <v>232</v>
      </c>
      <c r="I180" s="3">
        <f t="shared" si="133"/>
        <v>284</v>
      </c>
      <c r="J180" s="3">
        <f t="shared" si="133"/>
        <v>276</v>
      </c>
      <c r="K180" s="3">
        <f t="shared" si="133"/>
        <v>255</v>
      </c>
      <c r="L180" s="3">
        <f t="shared" si="133"/>
        <v>252</v>
      </c>
      <c r="M180" s="3">
        <f t="shared" si="133"/>
        <v>169</v>
      </c>
      <c r="N180" s="3">
        <f t="shared" si="133"/>
        <v>246</v>
      </c>
      <c r="O180" s="3">
        <f t="shared" si="133"/>
        <v>262</v>
      </c>
      <c r="P180" s="3">
        <f t="shared" si="133"/>
        <v>215</v>
      </c>
      <c r="Q180" s="3">
        <f t="shared" si="133"/>
        <v>272</v>
      </c>
    </row>
    <row r="181" spans="2:17" x14ac:dyDescent="0.25">
      <c r="B181" s="4" t="s">
        <v>11</v>
      </c>
      <c r="C181" s="1" t="s">
        <v>13</v>
      </c>
      <c r="D181" s="3">
        <v>13</v>
      </c>
      <c r="E181" s="3">
        <v>14</v>
      </c>
      <c r="F181" s="3">
        <v>10</v>
      </c>
      <c r="G181" s="3">
        <v>11</v>
      </c>
      <c r="H181" s="3">
        <v>9</v>
      </c>
      <c r="I181" s="3">
        <v>14</v>
      </c>
      <c r="J181" s="3">
        <v>7</v>
      </c>
      <c r="K181" s="3">
        <v>7</v>
      </c>
      <c r="L181" s="3">
        <v>19</v>
      </c>
      <c r="M181" s="3">
        <v>15</v>
      </c>
      <c r="N181" s="3">
        <v>17</v>
      </c>
      <c r="O181" s="3">
        <v>20</v>
      </c>
      <c r="P181" s="3">
        <v>15</v>
      </c>
      <c r="Q181" s="3">
        <v>19</v>
      </c>
    </row>
    <row r="182" spans="2:17" x14ac:dyDescent="0.25">
      <c r="B182" s="5"/>
      <c r="C182" s="1" t="s">
        <v>5</v>
      </c>
      <c r="D182" s="3">
        <v>17</v>
      </c>
      <c r="E182" s="3">
        <v>16</v>
      </c>
      <c r="F182" s="3">
        <v>21</v>
      </c>
      <c r="G182" s="3">
        <v>18</v>
      </c>
      <c r="H182" s="3">
        <v>23</v>
      </c>
      <c r="I182" s="3">
        <v>18</v>
      </c>
      <c r="J182" s="3">
        <v>15</v>
      </c>
      <c r="K182" s="3">
        <v>16</v>
      </c>
      <c r="L182" s="3">
        <v>19</v>
      </c>
      <c r="M182" s="3">
        <v>13</v>
      </c>
      <c r="N182" s="3">
        <v>15</v>
      </c>
      <c r="O182" s="3">
        <v>18</v>
      </c>
      <c r="P182" s="3">
        <v>20</v>
      </c>
      <c r="Q182" s="3">
        <v>26</v>
      </c>
    </row>
    <row r="183" spans="2:17" x14ac:dyDescent="0.25">
      <c r="B183" s="5"/>
      <c r="C183" s="1" t="s">
        <v>14</v>
      </c>
      <c r="D183" s="3">
        <v>3</v>
      </c>
      <c r="E183" s="3">
        <v>1</v>
      </c>
      <c r="F183" s="3">
        <v>4</v>
      </c>
      <c r="G183" s="3">
        <v>2</v>
      </c>
      <c r="H183" s="3">
        <v>4</v>
      </c>
      <c r="I183" s="3">
        <v>4</v>
      </c>
      <c r="J183" s="3">
        <v>2</v>
      </c>
      <c r="K183" s="3">
        <v>4</v>
      </c>
      <c r="L183" s="3">
        <v>1</v>
      </c>
      <c r="M183" s="3">
        <v>2</v>
      </c>
      <c r="N183" s="3">
        <v>1</v>
      </c>
      <c r="O183" s="3">
        <v>2</v>
      </c>
      <c r="P183" s="3">
        <v>1</v>
      </c>
      <c r="Q183" s="3">
        <v>3</v>
      </c>
    </row>
    <row r="184" spans="2:17" x14ac:dyDescent="0.25">
      <c r="B184" s="5"/>
      <c r="C184" s="1" t="s">
        <v>15</v>
      </c>
      <c r="D184" s="3"/>
      <c r="E184" s="3"/>
      <c r="F184" s="3"/>
      <c r="G184" s="3"/>
      <c r="H184" s="3"/>
      <c r="I184" s="3"/>
      <c r="J184" s="3"/>
      <c r="K184" s="3"/>
      <c r="L184" s="3"/>
      <c r="M184" s="3">
        <v>2</v>
      </c>
      <c r="N184" s="3">
        <v>1</v>
      </c>
      <c r="O184" s="3">
        <v>3</v>
      </c>
      <c r="P184" s="3">
        <v>1</v>
      </c>
      <c r="Q184" s="3"/>
    </row>
    <row r="185" spans="2:17" x14ac:dyDescent="0.25">
      <c r="B185" s="6"/>
      <c r="C185" s="1" t="s">
        <v>8</v>
      </c>
      <c r="D185" s="3">
        <f t="shared" ref="D185:Q185" si="134">SUM(D181:D184)</f>
        <v>33</v>
      </c>
      <c r="E185" s="3">
        <f t="shared" si="134"/>
        <v>31</v>
      </c>
      <c r="F185" s="3">
        <f t="shared" si="134"/>
        <v>35</v>
      </c>
      <c r="G185" s="3">
        <f t="shared" si="134"/>
        <v>31</v>
      </c>
      <c r="H185" s="3">
        <f t="shared" si="134"/>
        <v>36</v>
      </c>
      <c r="I185" s="3">
        <f t="shared" si="134"/>
        <v>36</v>
      </c>
      <c r="J185" s="3">
        <f t="shared" si="134"/>
        <v>24</v>
      </c>
      <c r="K185" s="3">
        <f t="shared" si="134"/>
        <v>27</v>
      </c>
      <c r="L185" s="3">
        <f t="shared" si="134"/>
        <v>39</v>
      </c>
      <c r="M185" s="3">
        <f t="shared" si="134"/>
        <v>32</v>
      </c>
      <c r="N185" s="3">
        <f t="shared" si="134"/>
        <v>34</v>
      </c>
      <c r="O185" s="3">
        <f t="shared" si="134"/>
        <v>43</v>
      </c>
      <c r="P185" s="3">
        <f t="shared" si="134"/>
        <v>37</v>
      </c>
      <c r="Q185" s="3">
        <f t="shared" si="134"/>
        <v>48</v>
      </c>
    </row>
    <row r="186" spans="2:17" x14ac:dyDescent="0.25">
      <c r="B186" s="4" t="s">
        <v>8</v>
      </c>
      <c r="C186" s="1" t="s">
        <v>13</v>
      </c>
      <c r="D186" s="3">
        <f>SUM(D171,D176,D181)</f>
        <v>3155</v>
      </c>
      <c r="E186" s="3">
        <f t="shared" ref="E186:Q186" si="135">SUM(E171,E176,E181)</f>
        <v>3065</v>
      </c>
      <c r="F186" s="3">
        <f t="shared" si="135"/>
        <v>2272</v>
      </c>
      <c r="G186" s="3">
        <f t="shared" si="135"/>
        <v>3191</v>
      </c>
      <c r="H186" s="3">
        <f t="shared" si="135"/>
        <v>2966</v>
      </c>
      <c r="I186" s="3">
        <f t="shared" si="135"/>
        <v>3549</v>
      </c>
      <c r="J186" s="3">
        <f t="shared" si="135"/>
        <v>3628</v>
      </c>
      <c r="K186" s="3">
        <f t="shared" si="135"/>
        <v>3444</v>
      </c>
      <c r="L186" s="3">
        <f t="shared" si="135"/>
        <v>3540</v>
      </c>
      <c r="M186" s="3">
        <f t="shared" si="135"/>
        <v>2401</v>
      </c>
      <c r="N186" s="3">
        <f t="shared" si="135"/>
        <v>3107</v>
      </c>
      <c r="O186" s="3">
        <f t="shared" si="135"/>
        <v>3203</v>
      </c>
      <c r="P186" s="3">
        <f t="shared" si="135"/>
        <v>3146</v>
      </c>
      <c r="Q186" s="3">
        <f t="shared" si="135"/>
        <v>3065</v>
      </c>
    </row>
    <row r="187" spans="2:17" x14ac:dyDescent="0.25">
      <c r="B187" s="5"/>
      <c r="C187" s="1" t="s">
        <v>5</v>
      </c>
      <c r="D187" s="3">
        <f t="shared" ref="D187:Q189" si="136">SUM(D172,D177,D182)</f>
        <v>862</v>
      </c>
      <c r="E187" s="3">
        <f t="shared" si="136"/>
        <v>986</v>
      </c>
      <c r="F187" s="3">
        <f t="shared" si="136"/>
        <v>557</v>
      </c>
      <c r="G187" s="3">
        <f t="shared" si="136"/>
        <v>879</v>
      </c>
      <c r="H187" s="3">
        <f t="shared" si="136"/>
        <v>782</v>
      </c>
      <c r="I187" s="3">
        <f t="shared" si="136"/>
        <v>893</v>
      </c>
      <c r="J187" s="3">
        <f t="shared" si="136"/>
        <v>874</v>
      </c>
      <c r="K187" s="3">
        <f t="shared" si="136"/>
        <v>852</v>
      </c>
      <c r="L187" s="3">
        <f t="shared" si="136"/>
        <v>850</v>
      </c>
      <c r="M187" s="3">
        <f t="shared" si="136"/>
        <v>523</v>
      </c>
      <c r="N187" s="3">
        <f t="shared" si="136"/>
        <v>581</v>
      </c>
      <c r="O187" s="3">
        <f t="shared" si="136"/>
        <v>604</v>
      </c>
      <c r="P187" s="3">
        <f t="shared" si="136"/>
        <v>628</v>
      </c>
      <c r="Q187" s="3">
        <f t="shared" si="136"/>
        <v>669</v>
      </c>
    </row>
    <row r="188" spans="2:17" x14ac:dyDescent="0.25">
      <c r="B188" s="5"/>
      <c r="C188" s="1" t="s">
        <v>14</v>
      </c>
      <c r="D188" s="3">
        <f t="shared" si="136"/>
        <v>612</v>
      </c>
      <c r="E188" s="3">
        <f t="shared" si="136"/>
        <v>624</v>
      </c>
      <c r="F188" s="3">
        <f t="shared" si="136"/>
        <v>435</v>
      </c>
      <c r="G188" s="3">
        <f t="shared" si="136"/>
        <v>635</v>
      </c>
      <c r="H188" s="3">
        <f t="shared" si="136"/>
        <v>555</v>
      </c>
      <c r="I188" s="3">
        <f t="shared" si="136"/>
        <v>552</v>
      </c>
      <c r="J188" s="3">
        <f t="shared" si="136"/>
        <v>538</v>
      </c>
      <c r="K188" s="3">
        <f t="shared" si="136"/>
        <v>554</v>
      </c>
      <c r="L188" s="3">
        <f t="shared" si="136"/>
        <v>533</v>
      </c>
      <c r="M188" s="3">
        <f t="shared" si="136"/>
        <v>360</v>
      </c>
      <c r="N188" s="3">
        <f t="shared" si="136"/>
        <v>394</v>
      </c>
      <c r="O188" s="3">
        <f t="shared" si="136"/>
        <v>367</v>
      </c>
      <c r="P188" s="3">
        <f t="shared" si="136"/>
        <v>366</v>
      </c>
      <c r="Q188" s="3">
        <f t="shared" si="136"/>
        <v>421</v>
      </c>
    </row>
    <row r="189" spans="2:17" x14ac:dyDescent="0.25">
      <c r="B189" s="5"/>
      <c r="C189" s="1" t="s">
        <v>15</v>
      </c>
      <c r="D189" s="3">
        <f t="shared" si="136"/>
        <v>14</v>
      </c>
      <c r="E189" s="3">
        <f t="shared" si="136"/>
        <v>18</v>
      </c>
      <c r="F189" s="3">
        <f t="shared" si="136"/>
        <v>13</v>
      </c>
      <c r="G189" s="3">
        <f t="shared" si="136"/>
        <v>28</v>
      </c>
      <c r="H189" s="3">
        <f t="shared" si="136"/>
        <v>32</v>
      </c>
      <c r="I189" s="3">
        <f t="shared" si="136"/>
        <v>34</v>
      </c>
      <c r="J189" s="3">
        <f t="shared" si="136"/>
        <v>43</v>
      </c>
      <c r="K189" s="3">
        <f t="shared" si="136"/>
        <v>49</v>
      </c>
      <c r="L189" s="3">
        <f t="shared" si="136"/>
        <v>114</v>
      </c>
      <c r="M189" s="3">
        <f t="shared" si="136"/>
        <v>75</v>
      </c>
      <c r="N189" s="3">
        <f t="shared" si="136"/>
        <v>150</v>
      </c>
      <c r="O189" s="3">
        <f t="shared" si="136"/>
        <v>181</v>
      </c>
      <c r="P189" s="3">
        <f t="shared" si="136"/>
        <v>120</v>
      </c>
      <c r="Q189" s="3">
        <f t="shared" si="136"/>
        <v>105</v>
      </c>
    </row>
    <row r="190" spans="2:17" x14ac:dyDescent="0.25">
      <c r="B190" s="6"/>
      <c r="C190" s="1" t="s">
        <v>8</v>
      </c>
      <c r="D190" s="3">
        <f t="shared" ref="D190:Q190" si="137">SUM(D186:D189)</f>
        <v>4643</v>
      </c>
      <c r="E190" s="3">
        <f t="shared" si="137"/>
        <v>4693</v>
      </c>
      <c r="F190" s="3">
        <f t="shared" si="137"/>
        <v>3277</v>
      </c>
      <c r="G190" s="3">
        <f t="shared" si="137"/>
        <v>4733</v>
      </c>
      <c r="H190" s="3">
        <f t="shared" si="137"/>
        <v>4335</v>
      </c>
      <c r="I190" s="3">
        <f t="shared" si="137"/>
        <v>5028</v>
      </c>
      <c r="J190" s="3">
        <f t="shared" si="137"/>
        <v>5083</v>
      </c>
      <c r="K190" s="3">
        <f t="shared" si="137"/>
        <v>4899</v>
      </c>
      <c r="L190" s="3">
        <f t="shared" si="137"/>
        <v>5037</v>
      </c>
      <c r="M190" s="3">
        <f t="shared" si="137"/>
        <v>3359</v>
      </c>
      <c r="N190" s="3">
        <f t="shared" si="137"/>
        <v>4232</v>
      </c>
      <c r="O190" s="3">
        <f t="shared" si="137"/>
        <v>4355</v>
      </c>
      <c r="P190" s="3">
        <f t="shared" si="137"/>
        <v>4260</v>
      </c>
      <c r="Q190" s="3">
        <f t="shared" si="137"/>
        <v>4260</v>
      </c>
    </row>
  </sheetData>
  <mergeCells count="9">
    <mergeCell ref="B72:B76"/>
    <mergeCell ref="B77:B81"/>
    <mergeCell ref="B186:B190"/>
    <mergeCell ref="B82:B86"/>
    <mergeCell ref="B87:B91"/>
    <mergeCell ref="B92:B96"/>
    <mergeCell ref="B171:B175"/>
    <mergeCell ref="B176:B180"/>
    <mergeCell ref="B181:B1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Cooper</dc:creator>
  <cp:lastModifiedBy>Drew Cooper</cp:lastModifiedBy>
  <dcterms:created xsi:type="dcterms:W3CDTF">2015-06-05T18:17:20Z</dcterms:created>
  <dcterms:modified xsi:type="dcterms:W3CDTF">2025-10-14T22:11:37Z</dcterms:modified>
</cp:coreProperties>
</file>